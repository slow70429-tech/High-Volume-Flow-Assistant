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高量採集自動收件\TSP_Excel_Batch_Unlock_V3\OUTPUT\"/>
    </mc:Choice>
  </mc:AlternateContent>
  <xr:revisionPtr revIDLastSave="0" documentId="8_{6239EBCB-158A-40C3-99FC-356CB76E94C9}" xr6:coauthVersionLast="47" xr6:coauthVersionMax="47" xr10:uidLastSave="{00000000-0000-0000-0000-000000000000}"/>
  <bookViews>
    <workbookView xWindow="-118" yWindow="-118" windowWidth="25370" windowHeight="13667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G9" i="100"/>
  <c r="G20" i="100"/>
  <c r="H10" i="100"/>
  <c r="I10" i="100"/>
  <c r="F10" i="100"/>
  <c r="G10" i="100"/>
  <c r="I20" i="100"/>
  <c r="F11" i="100"/>
  <c r="G11" i="100"/>
  <c r="N11" i="100"/>
  <c r="P11" i="100"/>
  <c r="Q10" i="100"/>
  <c r="F12" i="100"/>
  <c r="G12" i="100"/>
  <c r="F13" i="100"/>
  <c r="G13" i="100"/>
  <c r="O18" i="100"/>
  <c r="M28" i="100"/>
  <c r="N23" i="100"/>
  <c r="P23" i="100"/>
  <c r="Q22" i="100"/>
  <c r="M27" i="100"/>
  <c r="O13" i="100"/>
  <c r="E20" i="100"/>
  <c r="H11" i="100"/>
  <c r="I11" i="100"/>
  <c r="H13" i="100"/>
  <c r="I13" i="100"/>
  <c r="H12" i="100"/>
  <c r="I12" i="100"/>
  <c r="H9" i="100"/>
  <c r="I9" i="100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<sst xmlns="http://schemas.openxmlformats.org/spreadsheetml/2006/main" count="86" uniqueCount="71">
  <si>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</si>
  <si>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</si>
  <si>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</si>
  <si>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</si>
  <si>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</si>
  <si>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</si>
  <si>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</si>
  <si>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</si>
  <si>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</si>
  <si>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</si>
  <si>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</si>
  <si>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</si>
  <si>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</si>
  <si>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</si>
  <si>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</si>
  <si>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</si>
  <si>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</si>
  <si>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</si>
  <si>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</si>
  <si>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</si>
  <si>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</si>
  <si>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</si>
  <si>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</si>
  <si>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</si>
  <si>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</si>
  <si>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</si>
  <si>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</si>
  <si>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</si>
  <si>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</si>
  <si>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</si>
  <si>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</si>
  <si>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</si>
  <si>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</si>
  <si>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</si>
  <si>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</si>
  <si>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</si>
  <si>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</si>
  <si>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</si>
  <si>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</si>
  <si>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</si>
  <si>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</si>
  <si>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</si>
  <si>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</si>
  <si>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</si>
  <si>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</si>
  <si>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</si>
  <si>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</si>
  <si>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</si>
  <si>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</si>
  <si>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</si>
  <si>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</si>
  <si>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</si>
  <si>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</si>
  <si>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</si>
  <si>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</si>
  <si>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</si>
  <si>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</si>
  <si>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</si>
  <si>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</si>
  <si>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r>
      <t>P</t>
    </r>
    <r>
      <rPr>
        <sz val="12"/>
        <rFont val="新細明體"/>
        <family val="1"/>
        <charset val="136"/>
      </rPr>
      <t>4</t>
    </r>
    <phoneticPr fontId="30" type="noConversion"/>
  </si>
  <si>
    <r>
      <t>FU</t>
    </r>
    <r>
      <rPr>
        <sz val="12"/>
        <rFont val="新細明體"/>
        <family val="1"/>
        <charset val="136"/>
      </rPr>
      <t>4</t>
    </r>
    <phoneticPr fontId="30" type="noConversion"/>
  </si>
  <si>
    <t>華光公司</t>
    <phoneticPr fontId="30" type="noConversion"/>
  </si>
  <si>
    <t>TISCH</t>
    <phoneticPr fontId="30" type="noConversion"/>
  </si>
  <si>
    <r>
      <t>115.</t>
    </r>
    <r>
      <rPr>
        <sz val="12"/>
        <rFont val="微軟正黑體"/>
        <family val="2"/>
        <charset val="136"/>
      </rPr>
      <t>10</t>
    </r>
    <r>
      <rPr>
        <sz val="12"/>
        <rFont val="Tahoma"/>
        <family val="2"/>
        <charset val="136"/>
      </rPr>
      <t>.0</t>
    </r>
    <r>
      <rPr>
        <sz val="12"/>
        <rFont val="微軟正黑體"/>
        <family val="2"/>
        <charset val="136"/>
      </rPr>
      <t>1</t>
    </r>
    <phoneticPr fontId="30" type="noConversion"/>
  </si>
  <si>
    <t>郭金山</t>
    <phoneticPr fontId="30" type="noConversion"/>
  </si>
  <si>
    <r>
      <t>TE5025A/3891 (J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  <phoneticPr fontId="30" type="noConversion"/>
  </si>
  <si>
    <r>
      <t>1</t>
    </r>
    <r>
      <rPr>
        <sz val="12"/>
        <rFont val="細明體"/>
        <family val="3"/>
        <charset val="136"/>
      </rPr>
      <t>7</t>
    </r>
    <r>
      <rPr>
        <sz val="12"/>
        <rFont val="Tahoma"/>
        <family val="2"/>
        <charset val="136"/>
      </rPr>
      <t>:</t>
    </r>
    <r>
      <rPr>
        <sz val="12"/>
        <rFont val="細明體"/>
        <family val="3"/>
        <charset val="136"/>
      </rPr>
      <t>10</t>
    </r>
    <phoneticPr fontId="30" type="noConversion"/>
  </si>
  <si>
    <r>
      <t>1</t>
    </r>
    <r>
      <rPr>
        <sz val="12"/>
        <rFont val="細明體"/>
        <family val="3"/>
        <charset val="136"/>
      </rPr>
      <t>7</t>
    </r>
    <r>
      <rPr>
        <sz val="12"/>
        <rFont val="Tahoma"/>
        <family val="2"/>
        <charset val="136"/>
      </rPr>
      <t>:1</t>
    </r>
    <r>
      <rPr>
        <sz val="12"/>
        <rFont val="細明體"/>
        <family val="3"/>
        <charset val="136"/>
      </rPr>
      <t>8</t>
    </r>
    <phoneticPr fontId="30" type="noConversion"/>
  </si>
  <si>
    <r>
      <t>1</t>
    </r>
    <r>
      <rPr>
        <sz val="12"/>
        <rFont val="細明體"/>
        <family val="3"/>
        <charset val="136"/>
      </rPr>
      <t>7</t>
    </r>
    <r>
      <rPr>
        <sz val="12"/>
        <rFont val="Tahoma"/>
        <family val="2"/>
        <charset val="136"/>
      </rPr>
      <t>:2</t>
    </r>
    <r>
      <rPr>
        <sz val="12"/>
        <rFont val="細明體"/>
        <family val="3"/>
        <charset val="136"/>
      </rPr>
      <t>5</t>
    </r>
    <phoneticPr fontId="30" type="noConversion"/>
  </si>
  <si>
    <r>
      <t>1</t>
    </r>
    <r>
      <rPr>
        <sz val="12"/>
        <rFont val="細明體"/>
        <family val="3"/>
        <charset val="136"/>
      </rPr>
      <t>7</t>
    </r>
    <r>
      <rPr>
        <sz val="12"/>
        <rFont val="Tahoma"/>
        <family val="2"/>
        <charset val="136"/>
      </rPr>
      <t>:3</t>
    </r>
    <r>
      <rPr>
        <sz val="12"/>
        <rFont val="細明體"/>
        <family val="3"/>
        <charset val="136"/>
      </rPr>
      <t>2</t>
    </r>
    <phoneticPr fontId="30" type="noConversion"/>
  </si>
  <si>
    <r>
      <t>1</t>
    </r>
    <r>
      <rPr>
        <sz val="12"/>
        <rFont val="細明體"/>
        <family val="3"/>
        <charset val="136"/>
      </rPr>
      <t>7</t>
    </r>
    <r>
      <rPr>
        <sz val="12"/>
        <rFont val="Tahoma"/>
        <family val="2"/>
        <charset val="136"/>
      </rPr>
      <t>:4</t>
    </r>
    <r>
      <rPr>
        <sz val="12"/>
        <rFont val="細明體"/>
        <family val="3"/>
        <charset val="136"/>
      </rPr>
      <t>0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</si>
</sst>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4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12"/>
      <name val="Tahoma"/>
      <family val="2"/>
      <charset val="136"/>
    </font>
    <font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5" xfId="1" applyFont="1" applyFill="1" applyBorder="1" applyAlignment="1" applyProtection="1">
      <alignment horizontal="center" vertical="center"/>
      <protection locked="0"/>
    </xf>
    <xf numFmtId="177" fontId="6" fillId="3" borderId="13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3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177" fontId="3" fillId="3" borderId="15" xfId="1" applyFont="1" applyFill="1" applyBorder="1" applyAlignment="1" applyProtection="1">
      <alignment horizontal="center"/>
      <protection locked="0"/>
    </xf>
    <xf numFmtId="177" fontId="3" fillId="3" borderId="13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5" xfId="1" applyNumberFormat="1" applyFont="1" applyFill="1" applyBorder="1" applyAlignment="1" applyProtection="1">
      <alignment horizontal="center" vertical="center"/>
      <protection locked="0"/>
    </xf>
    <xf numFmtId="57" fontId="6" fillId="3" borderId="13" xfId="1" applyNumberFormat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3" xfId="1" applyFont="1" applyFill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5" xfId="1" applyFont="1" applyFill="1" applyBorder="1" applyAlignment="1" applyProtection="1">
      <alignment horizontal="center" vertical="center"/>
      <protection locked="0"/>
    </xf>
    <xf numFmtId="177" fontId="3" fillId="3" borderId="13" xfId="1" applyFont="1" applyFill="1" applyBorder="1" applyAlignment="1" applyProtection="1">
      <alignment horizontal="center" vertical="center"/>
      <protection locked="0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5" xfId="1" applyFont="1" applyFill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81" fontId="9" fillId="0" borderId="11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2" xfId="0" applyFont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3" xfId="0" applyFont="1" applyBorder="1" applyAlignment="1" applyProtection="1">
      <alignment horizontal="center" vertical="center"/>
    </xf>
    <xf numFmtId="177" fontId="7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/>
    </xf>
    <xf numFmtId="177" fontId="8" fillId="0" borderId="11" xfId="1" applyFont="1" applyBorder="1" applyAlignment="1" applyProtection="1">
      <alignment horizontal="center" vertical="center" wrapText="1"/>
      <protection locked="0"/>
    </xf>
    <xf numFmtId="176" fontId="0" fillId="0" borderId="12" xfId="0" applyFont="1" applyBorder="1" applyAlignment="1" applyProtection="1">
      <alignment horizontal="center" vertical="center"/>
      <protection locked="0"/>
    </xf>
    <xf numFmtId="177" fontId="6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 wrapText="1"/>
    </xf>
    <xf numFmtId="176" fontId="6" fillId="0" borderId="11" xfId="0" applyFont="1" applyBorder="1" applyAlignment="1" applyProtection="1">
      <alignment horizontal="center" vertical="center" wrapText="1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 wrapText="1"/>
    </xf>
    <xf numFmtId="176" fontId="11" fillId="0" borderId="13" xfId="0" applyFont="1" applyBorder="1" applyAlignment="1" applyProtection="1">
      <alignment horizontal="center" vertical="center" wrapText="1"/>
    </xf>
    <xf numFmtId="176" fontId="5" fillId="0" borderId="13" xfId="0" applyFont="1" applyFill="1" applyBorder="1" applyAlignment="1" applyProtection="1">
      <alignment horizontal="center" vertical="center" wrapText="1"/>
    </xf>
    <xf numFmtId="187" fontId="9" fillId="3" borderId="11" xfId="0" applyNumberFormat="1" applyFont="1" applyFill="1" applyBorder="1" applyAlignment="1" applyProtection="1">
      <alignment horizontal="center" vertical="center"/>
      <protection locked="0"/>
    </xf>
    <xf numFmtId="187" fontId="9" fillId="3" borderId="12" xfId="0" applyNumberFormat="1" applyFont="1" applyFill="1" applyBorder="1" applyAlignment="1" applyProtection="1">
      <alignment horizontal="center" vertical="center"/>
      <protection locked="0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1.03</c:v>
                </c:pt>
                <c:pt idx="1">
                  <c:v>1.17</c:v>
                </c:pt>
                <c:pt idx="2">
                  <c:v>1.31</c:v>
                </c:pt>
                <c:pt idx="3">
                  <c:v>1.43</c:v>
                </c:pt>
                <c:pt idx="4">
                  <c:v>1.56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4-4997-B207-38363C58E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43920"/>
        <c:axId val="1"/>
      </c:scatterChart>
      <c:valAx>
        <c:axId val="376243920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細明體"/>
                    <a:ea typeface="細明體"/>
                    <a:cs typeface="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0964056139"/>
              <c:y val="0.899679307327963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細明體"/>
                    <a:ea typeface="細明體"/>
                    <a:cs typeface="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333066151163E-3"/>
              <c:y val="0.27508311461067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762439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951" name="Chart 3">
          <a:extLst>
            <a:ext uri="{FF2B5EF4-FFF2-40B4-BE49-F238E27FC236}">
              <a16:creationId xmlns:a16="http://schemas.microsoft.com/office/drawing/2014/main" id="{F5969055-12E9-4190-9E82-684ACEA8C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174677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18C410EE-A58F-444A-A2B3-F63DFEED9E43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53" name="圖片 2">
          <a:extLst>
            <a:ext uri="{FF2B5EF4-FFF2-40B4-BE49-F238E27FC236}">
              <a16:creationId xmlns:a16="http://schemas.microsoft.com/office/drawing/2014/main" id="{8ADCD743-8940-4BFB-9BF8-93A353B7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54" name="圖片 4">
          <a:extLst>
            <a:ext uri="{FF2B5EF4-FFF2-40B4-BE49-F238E27FC236}">
              <a16:creationId xmlns:a16="http://schemas.microsoft.com/office/drawing/2014/main" id="{52770070-A6AF-4C12-95DA-7B9D4467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174677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F37E8946-9059-4B3D-9207-1CAD23E222F8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56" name="圖片 2">
          <a:extLst>
            <a:ext uri="{FF2B5EF4-FFF2-40B4-BE49-F238E27FC236}">
              <a16:creationId xmlns:a16="http://schemas.microsoft.com/office/drawing/2014/main" id="{B9580099-5B28-4D44-8D0D-12409A7A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57" name="圖片 4">
          <a:extLst>
            <a:ext uri="{FF2B5EF4-FFF2-40B4-BE49-F238E27FC236}">
              <a16:creationId xmlns:a16="http://schemas.microsoft.com/office/drawing/2014/main" id="{ECAE103F-7F48-4B31-8FB8-A500688A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70" workbookViewId="0">
      <selection activeCell="B9" sqref="B9:B13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02" t="s">
        <v>62</v>
      </c>
      <c r="C4" s="103"/>
      <c r="D4" s="104"/>
      <c r="E4" s="105" t="s">
        <v>2</v>
      </c>
      <c r="F4" s="106"/>
      <c r="G4" s="107" t="s">
        <v>59</v>
      </c>
      <c r="H4" s="108"/>
      <c r="I4" s="109"/>
    </row>
    <row r="5" spans="1:17" s="2" customFormat="1" ht="25.2" customHeight="1" x14ac:dyDescent="0.3">
      <c r="A5" s="12" t="s">
        <v>3</v>
      </c>
      <c r="B5" s="110" t="s">
        <v>63</v>
      </c>
      <c r="C5" s="111"/>
      <c r="D5" s="112"/>
      <c r="E5" s="113" t="s">
        <v>4</v>
      </c>
      <c r="F5" s="114"/>
      <c r="G5" s="107" t="s">
        <v>60</v>
      </c>
      <c r="H5" s="108"/>
      <c r="I5" s="10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15" t="s">
        <v>61</v>
      </c>
      <c r="C6" s="116"/>
      <c r="D6" s="117"/>
      <c r="E6" s="113" t="s">
        <v>7</v>
      </c>
      <c r="F6" s="114"/>
      <c r="G6" s="118" t="s">
        <v>8</v>
      </c>
      <c r="H6" s="108"/>
      <c r="I6" s="109"/>
      <c r="K6" s="2" t="s">
        <v>9</v>
      </c>
      <c r="M6" s="69"/>
      <c r="N6" s="69"/>
    </row>
    <row r="7" spans="1:17" s="2" customFormat="1" ht="25.2" customHeight="1" x14ac:dyDescent="0.3">
      <c r="A7" s="130" t="s">
        <v>10</v>
      </c>
      <c r="B7" s="132" t="s">
        <v>11</v>
      </c>
      <c r="C7" s="119" t="s">
        <v>12</v>
      </c>
      <c r="D7" s="120"/>
      <c r="E7" s="120"/>
      <c r="F7" s="134" t="s">
        <v>13</v>
      </c>
      <c r="G7" s="134" t="s">
        <v>14</v>
      </c>
      <c r="H7" s="134" t="s">
        <v>15</v>
      </c>
      <c r="I7" s="136" t="s">
        <v>16</v>
      </c>
      <c r="M7" s="69"/>
      <c r="N7" s="70" t="s">
        <v>17</v>
      </c>
    </row>
    <row r="8" spans="1:17" ht="25.2" customHeight="1" x14ac:dyDescent="0.3">
      <c r="A8" s="131"/>
      <c r="B8" s="133"/>
      <c r="C8" s="11" t="s">
        <v>18</v>
      </c>
      <c r="D8" s="96" t="s">
        <v>19</v>
      </c>
      <c r="E8" s="96" t="s">
        <v>20</v>
      </c>
      <c r="F8" s="135"/>
      <c r="G8" s="135"/>
      <c r="H8" s="135"/>
      <c r="I8" s="135"/>
    </row>
    <row r="9" spans="1:17" ht="25.2" customHeight="1" x14ac:dyDescent="0.3">
      <c r="A9" s="97" t="s">
        <v>66</v>
      </c>
      <c r="B9" s="13">
        <v>4.8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1.03</v>
      </c>
      <c r="H9" s="16">
        <f>IF(E9="","",($E$20*G9+$G$20))</f>
        <v>1.1000000000000001</v>
      </c>
      <c r="I9" s="71">
        <f>IF(E9="","",(F9-H9)/H9*100)</f>
        <v>0</v>
      </c>
      <c r="J9" s="72"/>
      <c r="K9" s="125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67</v>
      </c>
      <c r="B10" s="13">
        <v>6.2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1.17</v>
      </c>
      <c r="H10" s="16">
        <f>IF(E10="","",($E$20*G10+$G$20))</f>
        <v>1.2</v>
      </c>
      <c r="I10" s="71">
        <f>IF(E10="","",(F10-H10)/H10*100)</f>
        <v>0</v>
      </c>
      <c r="J10" s="72"/>
      <c r="K10" s="126"/>
      <c r="L10" s="141" t="s">
        <v>25</v>
      </c>
      <c r="M10" s="75" t="s">
        <v>26</v>
      </c>
      <c r="N10" s="76"/>
      <c r="O10" s="75" t="s">
        <v>27</v>
      </c>
      <c r="P10" s="77"/>
      <c r="Q10" s="139" t="str">
        <f>IF(N10="","",(P10-P11)/(P11)*100)</f>
        <v/>
      </c>
    </row>
    <row r="11" spans="1:17" ht="25.2" customHeight="1" x14ac:dyDescent="0.3">
      <c r="A11" s="97" t="s">
        <v>68</v>
      </c>
      <c r="B11" s="13">
        <v>7.7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1.31</v>
      </c>
      <c r="H11" s="16">
        <f>IF(E11="","",($E$20*G11+$G$20))</f>
        <v>1.31</v>
      </c>
      <c r="I11" s="71">
        <f>IF(E11="","",(F11-H11)/H11*100)</f>
        <v>-0.8</v>
      </c>
      <c r="J11" s="72"/>
      <c r="K11" s="126"/>
      <c r="L11" s="142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40"/>
    </row>
    <row r="12" spans="1:17" ht="25.2" customHeight="1" x14ac:dyDescent="0.3">
      <c r="A12" s="97" t="s">
        <v>69</v>
      </c>
      <c r="B12" s="13">
        <v>9.1999999999999993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1.43</v>
      </c>
      <c r="H12" s="16">
        <f>IF(E12="","",($E$20*G12+$G$20))</f>
        <v>1.4</v>
      </c>
      <c r="I12" s="71">
        <f>IF(E12="","",(F12-H12)/H12*100)</f>
        <v>0</v>
      </c>
      <c r="J12" s="72"/>
      <c r="K12" s="126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70</v>
      </c>
      <c r="B13" s="13">
        <v>10.9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1.56</v>
      </c>
      <c r="H13" s="16">
        <f>IF(E13="","",($E$20*G13+$G$20))</f>
        <v>1.5</v>
      </c>
      <c r="I13" s="71">
        <f>IF(E13="","",(F13-H13)/H13*100)</f>
        <v>0</v>
      </c>
      <c r="J13" s="72"/>
      <c r="K13" s="126"/>
      <c r="L13" s="143" t="s">
        <v>30</v>
      </c>
      <c r="M13" s="144"/>
      <c r="N13" s="158" t="s">
        <v>31</v>
      </c>
      <c r="O13" s="137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23" t="s">
        <v>65</v>
      </c>
      <c r="E14" s="124"/>
      <c r="F14" s="20"/>
      <c r="G14" s="21" t="s">
        <v>33</v>
      </c>
      <c r="H14" s="22">
        <v>30.1</v>
      </c>
      <c r="I14" s="81" t="s">
        <v>34</v>
      </c>
      <c r="K14" s="127"/>
      <c r="L14" s="142"/>
      <c r="M14" s="145"/>
      <c r="N14" s="159"/>
      <c r="O14" s="138"/>
      <c r="P14" s="5"/>
      <c r="Q14" s="5"/>
    </row>
    <row r="15" spans="1:17" s="3" customFormat="1" ht="22.75" customHeight="1" x14ac:dyDescent="0.3">
      <c r="A15" s="23" t="s">
        <v>35</v>
      </c>
      <c r="B15" s="24"/>
      <c r="C15" s="25"/>
      <c r="D15" s="25"/>
      <c r="E15" s="26"/>
      <c r="F15" s="27"/>
      <c r="G15" s="28" t="s">
        <v>36</v>
      </c>
      <c r="H15" s="29">
        <v>759.2</v>
      </c>
      <c r="I15" s="82" t="s">
        <v>37</v>
      </c>
      <c r="L15" s="5"/>
    </row>
    <row r="16" spans="1:17" s="4" customFormat="1" ht="19" customHeight="1" x14ac:dyDescent="0.3">
      <c r="A16" s="30" t="s">
        <v>38</v>
      </c>
      <c r="B16" s="31"/>
      <c r="C16" s="32">
        <v>2.0985999999999998</v>
      </c>
      <c r="D16" s="98" t="s">
        <v>39</v>
      </c>
      <c r="E16" s="33">
        <v>1.9E-3</v>
      </c>
      <c r="F16" s="34"/>
      <c r="G16" s="160"/>
      <c r="H16" s="160"/>
      <c r="I16" s="83"/>
      <c r="K16" s="3"/>
      <c r="L16" s="5"/>
    </row>
    <row r="17" spans="1:17" s="3" customFormat="1" ht="25.2" customHeight="1" x14ac:dyDescent="0.3">
      <c r="A17" s="35" t="s">
        <v>40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41</v>
      </c>
      <c r="I18" s="85"/>
      <c r="K18" s="125" t="s">
        <v>42</v>
      </c>
      <c r="L18" s="143" t="s">
        <v>30</v>
      </c>
      <c r="M18" s="144"/>
      <c r="N18" s="158" t="s">
        <v>31</v>
      </c>
      <c r="O18" s="137" t="str">
        <f>IF(M18="","",ROUND((M18-G20)/E20,2))</f>
        <v/>
      </c>
    </row>
    <row r="19" spans="1:17" s="3" customFormat="1" ht="24.75" customHeight="1" x14ac:dyDescent="0.3">
      <c r="A19" s="161" t="s">
        <v>43</v>
      </c>
      <c r="B19" s="162"/>
      <c r="C19" s="163"/>
      <c r="D19" s="163"/>
      <c r="E19" s="163"/>
      <c r="F19" s="163"/>
      <c r="G19" s="163"/>
      <c r="H19" s="163"/>
      <c r="I19" s="164"/>
      <c r="K19" s="126"/>
      <c r="L19" s="142"/>
      <c r="M19" s="145"/>
      <c r="N19" s="159"/>
      <c r="O19" s="138"/>
    </row>
    <row r="20" spans="1:17" s="3" customFormat="1" ht="25.2" customHeight="1" x14ac:dyDescent="0.3">
      <c r="A20" s="45" t="s">
        <v>44</v>
      </c>
      <c r="B20" s="27"/>
      <c r="C20" s="46"/>
      <c r="D20" s="47" t="s">
        <v>45</v>
      </c>
      <c r="E20" s="48">
        <f>IF(E13="","",SLOPE(F9:F13,G9:G13))</f>
        <v>0.75690000000000002</v>
      </c>
      <c r="F20" s="49" t="s">
        <v>46</v>
      </c>
      <c r="G20" s="50">
        <f>IF(E13="","",INTERCEPT(F9:F13,G9:G13))</f>
        <v>0.31609999999999999</v>
      </c>
      <c r="H20" s="51" t="s">
        <v>47</v>
      </c>
      <c r="I20" s="86">
        <f>IF(E13="","",PEARSON(F9:F13,G9:G13))</f>
        <v>0.99950000000000006</v>
      </c>
      <c r="K20" s="126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6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6"/>
      <c r="L22" s="141" t="s">
        <v>25</v>
      </c>
      <c r="M22" s="75" t="s">
        <v>26</v>
      </c>
      <c r="N22" s="76"/>
      <c r="O22" s="75" t="s">
        <v>27</v>
      </c>
      <c r="P22" s="77"/>
      <c r="Q22" s="139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7"/>
      <c r="L23" s="142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40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28" t="s">
        <v>48</v>
      </c>
      <c r="L26" s="129"/>
      <c r="M26" s="88">
        <v>1</v>
      </c>
      <c r="N26" s="89" t="s">
        <v>49</v>
      </c>
      <c r="O26" s="88">
        <v>0</v>
      </c>
      <c r="P26" s="89" t="s">
        <v>50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51</v>
      </c>
      <c r="L27" s="90"/>
      <c r="M27" s="91" t="str">
        <f>IF(M13="","",IF(M26&gt;3,AVERAGE(O13,O18)*(M26*60+O26),"---"))</f>
        <v/>
      </c>
      <c r="N27" s="92" t="s">
        <v>52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53</v>
      </c>
      <c r="L28" s="90"/>
      <c r="M28" s="91" t="str">
        <f>IF(M13="","",IF(M26&lt;3,(AVERAGE(O13,O18)*(M26*60+O26))*((273/(273+(N9*0.5+N21*0.5)))*((P9*0.5+P21*0.5)/760)),"---"))</f>
        <v/>
      </c>
      <c r="N28" s="92" t="s">
        <v>54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46" t="s">
        <v>55</v>
      </c>
      <c r="B32" s="147"/>
      <c r="C32" s="148"/>
      <c r="D32" s="152" t="s">
        <v>56</v>
      </c>
      <c r="E32" s="153"/>
      <c r="F32" s="146" t="s">
        <v>57</v>
      </c>
      <c r="G32" s="148"/>
      <c r="H32" s="156" t="s">
        <v>64</v>
      </c>
      <c r="I32" s="157"/>
    </row>
    <row r="33" spans="1:10" ht="25.2" customHeight="1" x14ac:dyDescent="0.3">
      <c r="A33" s="149"/>
      <c r="B33" s="150"/>
      <c r="C33" s="151"/>
      <c r="D33" s="154"/>
      <c r="E33" s="155"/>
      <c r="F33" s="149"/>
      <c r="G33" s="151"/>
      <c r="H33" s="154"/>
      <c r="I33" s="155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58</v>
      </c>
      <c r="B35" s="9"/>
      <c r="I35" s="65"/>
      <c r="J35" s="65"/>
    </row>
  </sheetData>
  <sheetProtection password="8A83" sheet="1"/>
  <mergeCells count="41"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K26:L26"/>
    <mergeCell ref="A7:A8"/>
    <mergeCell ref="B7:B8"/>
    <mergeCell ref="F7:F8"/>
    <mergeCell ref="G7:G8"/>
    <mergeCell ref="H7:H8"/>
    <mergeCell ref="I7:I8"/>
    <mergeCell ref="B6:D6"/>
    <mergeCell ref="E6:F6"/>
    <mergeCell ref="G6:I6"/>
    <mergeCell ref="C7:E7"/>
    <mergeCell ref="L9:M9"/>
    <mergeCell ref="D14:E14"/>
    <mergeCell ref="K9:K14"/>
    <mergeCell ref="A2:I2"/>
    <mergeCell ref="B4:D4"/>
    <mergeCell ref="E4:F4"/>
    <mergeCell ref="G4:I4"/>
    <mergeCell ref="B5:D5"/>
    <mergeCell ref="E5:F5"/>
    <mergeCell ref="G5:I5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2026-10-05T07:51:46Z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