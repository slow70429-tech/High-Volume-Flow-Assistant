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95078\Desktop\"/>
    </mc:Choice>
  </mc:AlternateContent>
  <xr:revisionPtr revIDLastSave="0" documentId="8_{1B215B3C-4BA0-4C47-AFA1-386A02BE4269}" xr6:coauthVersionLast="47" xr6:coauthVersionMax="47" xr10:uidLastSave="{00000000-0000-0000-0000-000000000000}"/>
  <bookViews>
    <workbookView xWindow="-118" yWindow="-118" windowWidth="25370" windowHeight="13667"/>
  </bookViews>
  <sheets>
    <sheet name="P4" sheetId="100" r:id="rId1"/>
  </sheets>
  <externalReferences>
    <externalReference r:id="rId2"/>
  </externalReferences>
  <definedNames>
    <definedName name="_xlnm.Print_Area" localSheetId="0">'P4'!$A$1:$I$35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00" l="1"/>
  <c r="G9" i="100"/>
  <c r="I20" i="100"/>
  <c r="F10" i="100"/>
  <c r="G10" i="100"/>
  <c r="F11" i="100"/>
  <c r="G11" i="100"/>
  <c r="N11" i="100"/>
  <c r="P11" i="100"/>
  <c r="Q10" i="100"/>
  <c r="F12" i="100"/>
  <c r="G20" i="100"/>
  <c r="G12" i="100"/>
  <c r="F13" i="100"/>
  <c r="G13" i="100"/>
  <c r="O18" i="100"/>
  <c r="M28" i="100"/>
  <c r="N23" i="100"/>
  <c r="P23" i="100"/>
  <c r="Q22" i="100"/>
  <c r="M27" i="100"/>
  <c r="O13" i="100"/>
  <c r="E20" i="100"/>
  <c r="H12" i="100"/>
  <c r="I12" i="100"/>
  <c r="H10" i="100"/>
  <c r="I10" i="100"/>
  <c r="H9" i="100"/>
  <c r="I9" i="100"/>
  <c r="H13" i="100"/>
  <c r="I13" i="100"/>
  <c r="H11" i="100"/>
  <c r="I11" i="100"/>
</calcChain>
</file>

<file path=xl/sharedStrings.xml><?xml version="1.0" encoding="utf-8"?>
<sst xmlns="http://schemas.openxmlformats.org/spreadsheetml/2006/main" count="86" uniqueCount="71">
  <si>
    <t>高 量 空 氣 採 樣 器 校 正 紀 錄 表</t>
  </si>
  <si>
    <t>儀器型號</t>
  </si>
  <si>
    <t>儀器序號</t>
  </si>
  <si>
    <t>校正日期</t>
  </si>
  <si>
    <t>流量計編號</t>
  </si>
  <si>
    <t xml:space="preserve"> </t>
  </si>
  <si>
    <t>校正地點</t>
  </si>
  <si>
    <t>儀器操作電壓值</t>
  </si>
  <si>
    <t>110V</t>
  </si>
  <si>
    <t xml:space="preserve">                                                                                                                              </t>
  </si>
  <si>
    <t>執行時間</t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</si>
  <si>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  <charset val="136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  <charset val="136"/>
      </rPr>
      <t xml:space="preserve"> inchH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  <charset val="136"/>
      </rPr>
      <t>mmH</t>
    </r>
    <r>
      <rPr>
        <vertAlign val="subscript"/>
        <sz val="10"/>
        <rFont val="Tahoma"/>
        <family val="2"/>
        <charset val="136"/>
      </rPr>
      <t>2</t>
    </r>
    <r>
      <rPr>
        <sz val="10"/>
        <rFont val="Tahoma"/>
        <family val="2"/>
        <charset val="136"/>
      </rPr>
      <t>O</t>
    </r>
  </si>
  <si>
    <t xml:space="preserve">    流  量  計  讀  值</t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</si>
  <si>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  <charset val="136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  <charset val="136"/>
      </rPr>
      <t xml:space="preserve">   Y    </t>
    </r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</si>
  <si>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  <charset val="136"/>
      </rPr>
      <t xml:space="preserve">       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</si>
  <si>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10"/>
        <rFont val="Tahoma"/>
        <family val="2"/>
        <charset val="136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  <charset val="136"/>
      </rPr>
      <t xml:space="preserve">        Y</t>
    </r>
    <r>
      <rPr>
        <vertAlign val="subscript"/>
        <sz val="12"/>
        <rFont val="Tahoma"/>
        <family val="2"/>
        <charset val="136"/>
      </rPr>
      <t>cal</t>
    </r>
    <r>
      <rPr>
        <sz val="12"/>
        <rFont val="Tahoma"/>
        <family val="2"/>
        <charset val="136"/>
      </rPr>
      <t xml:space="preserve">     </t>
    </r>
    <r>
      <rPr>
        <sz val="10"/>
        <rFont val="Tahoma"/>
        <family val="2"/>
        <charset val="136"/>
      </rPr>
      <t>(m</t>
    </r>
    <r>
      <rPr>
        <vertAlign val="superscript"/>
        <sz val="10"/>
        <rFont val="Tahoma"/>
        <family val="2"/>
        <charset val="136"/>
      </rPr>
      <t>3</t>
    </r>
    <r>
      <rPr>
        <sz val="10"/>
        <rFont val="Tahoma"/>
        <family val="2"/>
        <charset val="136"/>
      </rPr>
      <t>/min)</t>
    </r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</si>
  <si>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  <charset val="136"/>
      </rPr>
      <t xml:space="preserve">  </t>
    </r>
    <r>
      <rPr>
        <sz val="10"/>
        <rFont val="Tahoma"/>
        <family val="2"/>
        <charset val="136"/>
      </rPr>
      <t>%</t>
    </r>
    <r>
      <rPr>
        <sz val="12"/>
        <rFont val="Tahoma"/>
        <family val="2"/>
        <charset val="136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  <charset val="136"/>
      </rPr>
      <t xml:space="preserve">±5%)              </t>
    </r>
  </si>
  <si>
    <t>粒狀物流率驗算紀錄</t>
  </si>
  <si>
    <t>第一次</t>
  </si>
  <si>
    <t>第二次</t>
  </si>
  <si>
    <t>第三次</t>
  </si>
  <si>
    <t>採                             樣                  前</t>
  </si>
  <si>
    <t>大氣溫度(℃)</t>
  </si>
  <si>
    <t>大氣壓力(mmHg)</t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</si>
  <si>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  <charset val="136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  <charset val="136"/>
      </rPr>
      <t xml:space="preserve">±7%)              </t>
    </r>
  </si>
  <si>
    <t>查核流率</t>
  </si>
  <si>
    <t>水柱壓差(ΔH)</t>
  </si>
  <si>
    <t>浮子流率計讀值(Y)</t>
  </si>
  <si>
    <t xml:space="preserve"> 實際流量Qstd(m3/min)</t>
  </si>
  <si>
    <t xml:space="preserve"> 迴歸之流量Ycal(m3/min)</t>
  </si>
  <si>
    <t>流率計讀值</t>
  </si>
  <si>
    <r>
      <t>校正流率                              （Q</t>
    </r>
    <r>
      <rPr>
        <sz val="14"/>
        <rFont val="新細明體"/>
        <family val="1"/>
        <charset val="136"/>
      </rPr>
      <t>）m3/min</t>
    </r>
  </si>
  <si>
    <t>孔口校正器型號/序號 :</t>
  </si>
  <si>
    <r>
      <t>GRASEBY/41N   (A</t>
    </r>
    <r>
      <rPr>
        <sz val="12"/>
        <rFont val="細明體"/>
        <family val="3"/>
        <charset val="136"/>
      </rPr>
      <t>台</t>
    </r>
    <r>
      <rPr>
        <sz val="12"/>
        <rFont val="Tahoma"/>
        <family val="2"/>
        <charset val="136"/>
      </rPr>
      <t>)</t>
    </r>
  </si>
  <si>
    <t>現場溫度(Ta):</t>
  </si>
  <si>
    <t>℃</t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</si>
  <si>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</si>
  <si>
    <t xml:space="preserve"> 大氣壓力(Pa):</t>
  </si>
  <si>
    <t>mmHg</t>
  </si>
  <si>
    <r>
      <t>Y</t>
    </r>
    <r>
      <rPr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=</t>
    </r>
  </si>
  <si>
    <r>
      <t>X</t>
    </r>
    <r>
      <rPr>
        <b/>
        <vertAlign val="subscript"/>
        <sz val="12"/>
        <rFont val="Tahoma"/>
        <family val="2"/>
        <charset val="136"/>
      </rPr>
      <t>o</t>
    </r>
    <r>
      <rPr>
        <sz val="12"/>
        <rFont val="Tahoma"/>
        <family val="2"/>
        <charset val="136"/>
      </rPr>
      <t xml:space="preserve">  +</t>
    </r>
  </si>
  <si>
    <t>將水柱壓差修正至標準狀態下，代入孔口校正器校正方程式求出以實際流量(Qstd )</t>
  </si>
  <si>
    <t/>
  </si>
  <si>
    <t>採                             樣                  後</t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</si>
  <si>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</si>
  <si>
    <t>線性迴歸方程式：</t>
  </si>
  <si>
    <r>
      <t xml:space="preserve">  Y</t>
    </r>
    <r>
      <rPr>
        <vertAlign val="subscript"/>
        <sz val="12"/>
        <rFont val="Tahoma"/>
        <family val="2"/>
        <charset val="136"/>
      </rPr>
      <t xml:space="preserve">cal  </t>
    </r>
    <r>
      <rPr>
        <sz val="12"/>
        <rFont val="Tahoma"/>
        <family val="2"/>
        <charset val="136"/>
      </rPr>
      <t>=</t>
    </r>
  </si>
  <si>
    <r>
      <t xml:space="preserve"> Q</t>
    </r>
    <r>
      <rPr>
        <vertAlign val="subscript"/>
        <sz val="12"/>
        <rFont val="Tahoma"/>
        <family val="2"/>
        <charset val="136"/>
      </rPr>
      <t>std</t>
    </r>
    <r>
      <rPr>
        <sz val="12"/>
        <rFont val="Tahoma"/>
        <family val="2"/>
        <charset val="136"/>
      </rPr>
      <t xml:space="preserve">  +</t>
    </r>
  </si>
  <si>
    <t>R=</t>
  </si>
  <si>
    <t>採樣時間</t>
  </si>
  <si>
    <t>小時</t>
  </si>
  <si>
    <t>分</t>
  </si>
  <si>
    <t>吸引空氣量（V）</t>
  </si>
  <si>
    <r>
      <t>m</t>
    </r>
    <r>
      <rPr>
        <vertAlign val="superscript"/>
        <sz val="16"/>
        <rFont val="新細明體"/>
        <family val="1"/>
        <charset val="136"/>
      </rPr>
      <t>3</t>
    </r>
  </si>
  <si>
    <t>吸引空氣量（Vn）</t>
  </si>
  <si>
    <r>
      <t>Nm</t>
    </r>
    <r>
      <rPr>
        <vertAlign val="superscript"/>
        <sz val="16"/>
        <rFont val="新細明體"/>
        <family val="1"/>
        <charset val="136"/>
      </rPr>
      <t>3</t>
    </r>
  </si>
  <si>
    <t>審核者</t>
  </si>
  <si>
    <t>陳美芳</t>
  </si>
  <si>
    <t>填表人</t>
  </si>
  <si>
    <t>版本：16  發行日期：113.08.01</t>
  </si>
  <si>
    <r>
      <t>P</t>
    </r>
    <r>
      <rPr>
        <sz val="12"/>
        <rFont val="新細明體"/>
        <family val="1"/>
        <charset val="136"/>
      </rPr>
      <t>4</t>
    </r>
    <phoneticPr fontId="30" type="noConversion"/>
  </si>
  <si>
    <r>
      <t>FU</t>
    </r>
    <r>
      <rPr>
        <sz val="12"/>
        <rFont val="新細明體"/>
        <family val="1"/>
        <charset val="136"/>
      </rPr>
      <t>4</t>
    </r>
    <phoneticPr fontId="30" type="noConversion"/>
  </si>
  <si>
    <t>華光公司</t>
    <phoneticPr fontId="30" type="noConversion"/>
  </si>
  <si>
    <t>TISCH</t>
    <phoneticPr fontId="30" type="noConversion"/>
  </si>
  <si>
    <t>張原銘</t>
    <phoneticPr fontId="30" type="noConversion"/>
  </si>
  <si>
    <t>10:01</t>
    <phoneticPr fontId="30" type="noConversion"/>
  </si>
  <si>
    <t>10:10</t>
    <phoneticPr fontId="30" type="noConversion"/>
  </si>
  <si>
    <t>10:22</t>
    <phoneticPr fontId="30" type="noConversion"/>
  </si>
  <si>
    <t>10:30</t>
    <phoneticPr fontId="30" type="noConversion"/>
  </si>
  <si>
    <t>10:39</t>
    <phoneticPr fontId="30" type="noConversion"/>
  </si>
  <si>
    <t>115.08.30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</si>
</sst>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_)"/>
    <numFmt numFmtId="177" formatCode="0.000_)"/>
    <numFmt numFmtId="178" formatCode="0.0"/>
    <numFmt numFmtId="179" formatCode="0.00_);[Red]\(0.00\)"/>
    <numFmt numFmtId="180" formatCode="0.00_)"/>
    <numFmt numFmtId="181" formatCode="0.0_ "/>
    <numFmt numFmtId="182" formatCode="0.0_)"/>
    <numFmt numFmtId="183" formatCode="0.000000_ "/>
    <numFmt numFmtId="184" formatCode="0.0000_ "/>
    <numFmt numFmtId="185" formatCode="0.0000_)"/>
    <numFmt numFmtId="186" formatCode="0.0&quot;  inch H2O&quot;"/>
    <numFmt numFmtId="187" formatCode="0.00_ "/>
    <numFmt numFmtId="188" formatCode="0_ "/>
  </numFmts>
  <fonts count="31" x14ac:knownFonts="1">
    <font>
      <sz val="12"/>
      <name val="Times New Roman"/>
      <family val="1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sz val="14"/>
      <name val="新細明體"/>
      <family val="1"/>
      <charset val="136"/>
    </font>
    <font>
      <sz val="12"/>
      <name val="Tahoma"/>
      <family val="2"/>
      <charset val="136"/>
    </font>
    <font>
      <sz val="10"/>
      <name val="細明體"/>
      <family val="3"/>
      <charset val="136"/>
    </font>
    <font>
      <sz val="10"/>
      <name val="Tahoma"/>
      <family val="2"/>
      <charset val="136"/>
    </font>
    <font>
      <sz val="18"/>
      <name val="新細明體"/>
      <family val="1"/>
      <charset val="136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8"/>
      <name val="Tahoma"/>
      <family val="2"/>
      <charset val="136"/>
    </font>
    <font>
      <sz val="12"/>
      <name val="細明體"/>
      <family val="3"/>
      <charset val="136"/>
    </font>
    <font>
      <sz val="14"/>
      <name val="Tahoma"/>
      <family val="2"/>
      <charset val="136"/>
    </font>
    <font>
      <sz val="16"/>
      <name val="Tahoma"/>
      <family val="2"/>
      <charset val="136"/>
    </font>
    <font>
      <sz val="16"/>
      <name val="Times New Roman"/>
      <family val="1"/>
    </font>
    <font>
      <vertAlign val="subscript"/>
      <sz val="12"/>
      <name val="Tahoma"/>
      <family val="2"/>
      <charset val="136"/>
    </font>
    <font>
      <vertAlign val="superscript"/>
      <sz val="10"/>
      <name val="Tahoma"/>
      <family val="2"/>
      <charset val="136"/>
    </font>
    <font>
      <sz val="8"/>
      <name val="細明體"/>
      <family val="3"/>
      <charset val="136"/>
    </font>
    <font>
      <sz val="8"/>
      <name val="Tahoma"/>
      <family val="2"/>
      <charset val="136"/>
    </font>
    <font>
      <sz val="12"/>
      <name val="Symbol"/>
      <family val="1"/>
      <charset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b/>
      <vertAlign val="subscript"/>
      <sz val="12"/>
      <name val="Tahoma"/>
      <family val="2"/>
      <charset val="136"/>
    </font>
    <font>
      <vertAlign val="superscript"/>
      <sz val="16"/>
      <name val="新細明體"/>
      <family val="1"/>
      <charset val="136"/>
    </font>
    <font>
      <vertAlign val="subscript"/>
      <sz val="12"/>
      <name val="新細明體"/>
      <family val="1"/>
      <charset val="136"/>
    </font>
    <font>
      <vertAlign val="subscript"/>
      <sz val="10"/>
      <name val="Tahoma"/>
      <family val="2"/>
      <charset val="136"/>
    </font>
    <font>
      <sz val="12"/>
      <name val="Times New Roma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176" fontId="0" fillId="0" borderId="0"/>
    <xf numFmtId="177" fontId="29" fillId="0" borderId="0"/>
    <xf numFmtId="0" fontId="3" fillId="0" borderId="0"/>
  </cellStyleXfs>
  <cellXfs count="165">
    <xf numFmtId="176" fontId="0" fillId="0" borderId="0" xfId="0"/>
    <xf numFmtId="0" fontId="2" fillId="0" borderId="0" xfId="2" applyFont="1" applyProtection="1">
      <protection locked="0"/>
    </xf>
    <xf numFmtId="0" fontId="3" fillId="0" borderId="0" xfId="2" applyFont="1" applyFill="1" applyProtection="1">
      <protection locked="0"/>
    </xf>
    <xf numFmtId="176" fontId="3" fillId="0" borderId="0" xfId="0" applyFont="1" applyProtection="1">
      <protection locked="0"/>
    </xf>
    <xf numFmtId="176" fontId="3" fillId="0" borderId="0" xfId="0" applyFont="1" applyAlignment="1" applyProtection="1">
      <alignment vertical="top"/>
      <protection locked="0"/>
    </xf>
    <xf numFmtId="176" fontId="3" fillId="0" borderId="0" xfId="0" applyFont="1" applyAlignment="1" applyProtection="1">
      <alignment horizontal="center" vertical="center"/>
      <protection locked="0"/>
    </xf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77" fontId="4" fillId="0" borderId="0" xfId="1" applyFont="1" applyProtection="1">
      <protection locked="0"/>
    </xf>
    <xf numFmtId="177" fontId="3" fillId="0" borderId="0" xfId="1" applyFont="1" applyProtection="1">
      <protection locked="0"/>
    </xf>
    <xf numFmtId="177" fontId="5" fillId="0" borderId="0" xfId="1" applyFont="1" applyAlignment="1" applyProtection="1">
      <alignment horizontal="left"/>
      <protection locked="0"/>
    </xf>
    <xf numFmtId="177" fontId="3" fillId="0" borderId="1" xfId="1" applyFont="1" applyBorder="1" applyAlignment="1" applyProtection="1">
      <alignment horizontal="center" vertical="center"/>
    </xf>
    <xf numFmtId="177" fontId="3" fillId="0" borderId="1" xfId="1" applyFont="1" applyFill="1" applyBorder="1" applyAlignment="1" applyProtection="1">
      <alignment horizontal="center" vertical="center"/>
    </xf>
    <xf numFmtId="178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3" borderId="1" xfId="1" applyNumberFormat="1" applyFont="1" applyFill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</xf>
    <xf numFmtId="180" fontId="6" fillId="0" borderId="2" xfId="1" applyNumberFormat="1" applyFont="1" applyFill="1" applyBorder="1" applyAlignment="1" applyProtection="1">
      <alignment horizontal="center" vertical="center"/>
    </xf>
    <xf numFmtId="180" fontId="3" fillId="0" borderId="3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left" vertical="center"/>
    </xf>
    <xf numFmtId="180" fontId="3" fillId="0" borderId="4" xfId="1" applyNumberFormat="1" applyFont="1" applyBorder="1" applyAlignment="1" applyProtection="1">
      <alignment horizontal="centerContinuous" vertical="center"/>
      <protection locked="0"/>
    </xf>
    <xf numFmtId="180" fontId="3" fillId="0" borderId="4" xfId="1" applyNumberFormat="1" applyFont="1" applyBorder="1" applyAlignment="1" applyProtection="1">
      <alignment vertical="center"/>
    </xf>
    <xf numFmtId="180" fontId="3" fillId="0" borderId="4" xfId="1" applyNumberFormat="1" applyFont="1" applyBorder="1" applyAlignment="1" applyProtection="1">
      <alignment horizontal="right" vertical="center"/>
    </xf>
    <xf numFmtId="181" fontId="6" fillId="3" borderId="0" xfId="0" applyNumberFormat="1" applyFont="1" applyFill="1" applyAlignment="1" applyProtection="1">
      <alignment horizontal="center" vertical="center"/>
      <protection locked="0"/>
    </xf>
    <xf numFmtId="176" fontId="3" fillId="0" borderId="5" xfId="0" applyFont="1" applyBorder="1" applyAlignment="1" applyProtection="1">
      <alignment vertical="top"/>
    </xf>
    <xf numFmtId="176" fontId="3" fillId="0" borderId="0" xfId="0" applyFont="1" applyBorder="1" applyAlignment="1" applyProtection="1">
      <alignment vertical="top"/>
    </xf>
    <xf numFmtId="177" fontId="3" fillId="0" borderId="0" xfId="1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  <protection locked="0"/>
    </xf>
    <xf numFmtId="176" fontId="3" fillId="0" borderId="0" xfId="0" applyFont="1" applyBorder="1" applyAlignment="1" applyProtection="1">
      <alignment vertical="center"/>
    </xf>
    <xf numFmtId="176" fontId="3" fillId="0" borderId="0" xfId="0" applyFont="1" applyBorder="1" applyAlignment="1" applyProtection="1">
      <alignment horizontal="right" vertical="center"/>
    </xf>
    <xf numFmtId="182" fontId="6" fillId="3" borderId="0" xfId="0" applyNumberFormat="1" applyFont="1" applyFill="1" applyAlignment="1" applyProtection="1">
      <alignment horizontal="center" vertical="center"/>
      <protection locked="0"/>
    </xf>
    <xf numFmtId="177" fontId="6" fillId="0" borderId="5" xfId="1" applyFont="1" applyBorder="1" applyAlignment="1" applyProtection="1">
      <alignment horizontal="center" vertical="top"/>
    </xf>
    <xf numFmtId="177" fontId="6" fillId="0" borderId="0" xfId="1" applyFont="1" applyBorder="1" applyAlignment="1" applyProtection="1">
      <alignment horizontal="center" vertical="top"/>
      <protection locked="0"/>
    </xf>
    <xf numFmtId="0" fontId="6" fillId="3" borderId="0" xfId="2" applyFont="1" applyFill="1" applyAlignment="1" applyProtection="1">
      <alignment vertical="top"/>
      <protection locked="0"/>
    </xf>
    <xf numFmtId="0" fontId="6" fillId="3" borderId="0" xfId="2" applyFont="1" applyFill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vertical="top"/>
      <protection locked="0"/>
    </xf>
    <xf numFmtId="177" fontId="3" fillId="0" borderId="5" xfId="1" applyFont="1" applyBorder="1" applyAlignment="1" applyProtection="1">
      <alignment horizontal="left" vertical="center"/>
    </xf>
    <xf numFmtId="177" fontId="3" fillId="0" borderId="0" xfId="1" applyFont="1" applyBorder="1" applyAlignment="1" applyProtection="1">
      <alignment horizontal="left" vertical="center"/>
    </xf>
    <xf numFmtId="0" fontId="6" fillId="0" borderId="0" xfId="2" applyFont="1" applyBorder="1" applyProtection="1"/>
    <xf numFmtId="177" fontId="6" fillId="0" borderId="0" xfId="1" applyFont="1" applyBorder="1" applyAlignment="1" applyProtection="1">
      <alignment horizontal="center" vertical="center"/>
    </xf>
    <xf numFmtId="183" fontId="6" fillId="0" borderId="0" xfId="1" applyNumberFormat="1" applyFont="1" applyBorder="1" applyAlignment="1" applyProtection="1">
      <alignment horizontal="left" vertical="center"/>
    </xf>
    <xf numFmtId="177" fontId="3" fillId="0" borderId="6" xfId="1" applyFont="1" applyBorder="1" applyAlignment="1" applyProtection="1">
      <alignment horizontal="left" vertical="center"/>
    </xf>
    <xf numFmtId="177" fontId="3" fillId="0" borderId="7" xfId="1" applyFont="1" applyBorder="1" applyAlignment="1" applyProtection="1">
      <alignment horizontal="left" vertical="center"/>
    </xf>
    <xf numFmtId="0" fontId="6" fillId="0" borderId="7" xfId="2" applyFont="1" applyBorder="1" applyProtection="1"/>
    <xf numFmtId="177" fontId="6" fillId="0" borderId="7" xfId="1" applyFont="1" applyBorder="1" applyAlignment="1" applyProtection="1">
      <alignment horizontal="center" vertical="center"/>
    </xf>
    <xf numFmtId="183" fontId="6" fillId="0" borderId="7" xfId="1" applyNumberFormat="1" applyFont="1" applyBorder="1" applyAlignment="1" applyProtection="1">
      <alignment horizontal="left" vertical="center"/>
    </xf>
    <xf numFmtId="176" fontId="3" fillId="0" borderId="5" xfId="0" applyFont="1" applyBorder="1" applyAlignment="1" applyProtection="1">
      <alignment vertical="center"/>
    </xf>
    <xf numFmtId="176" fontId="3" fillId="0" borderId="0" xfId="0" applyFont="1" applyProtection="1"/>
    <xf numFmtId="180" fontId="6" fillId="0" borderId="0" xfId="0" applyNumberFormat="1" applyFont="1" applyBorder="1" applyAlignment="1" applyProtection="1">
      <alignment horizontal="right" vertical="center"/>
    </xf>
    <xf numFmtId="184" fontId="6" fillId="0" borderId="0" xfId="0" applyNumberFormat="1" applyFont="1" applyBorder="1" applyAlignment="1" applyProtection="1">
      <alignment horizontal="right" vertical="center"/>
    </xf>
    <xf numFmtId="185" fontId="6" fillId="0" borderId="0" xfId="0" applyNumberFormat="1" applyFont="1" applyBorder="1" applyAlignment="1" applyProtection="1">
      <alignment horizontal="center" vertical="center"/>
    </xf>
    <xf numFmtId="184" fontId="6" fillId="0" borderId="0" xfId="0" applyNumberFormat="1" applyFont="1" applyBorder="1" applyAlignment="1" applyProtection="1">
      <alignment horizontal="left" vertical="center"/>
    </xf>
    <xf numFmtId="176" fontId="6" fillId="0" borderId="0" xfId="0" applyFont="1" applyBorder="1" applyAlignment="1" applyProtection="1">
      <alignment horizontal="right" vertical="center"/>
    </xf>
    <xf numFmtId="176" fontId="3" fillId="0" borderId="5" xfId="0" applyFont="1" applyBorder="1" applyProtection="1">
      <protection locked="0"/>
    </xf>
    <xf numFmtId="176" fontId="3" fillId="0" borderId="0" xfId="0" applyFont="1" applyBorder="1" applyProtection="1"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5" fontId="3" fillId="0" borderId="0" xfId="0" applyNumberFormat="1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left" vertical="center"/>
      <protection locked="0"/>
    </xf>
    <xf numFmtId="176" fontId="3" fillId="0" borderId="0" xfId="0" applyFont="1" applyBorder="1" applyAlignment="1" applyProtection="1">
      <alignment horizontal="center"/>
      <protection locked="0"/>
    </xf>
    <xf numFmtId="176" fontId="3" fillId="0" borderId="0" xfId="0" applyFont="1" applyBorder="1" applyAlignment="1" applyProtection="1">
      <alignment horizontal="left"/>
      <protection locked="0"/>
    </xf>
    <xf numFmtId="176" fontId="3" fillId="0" borderId="0" xfId="0" applyFont="1" applyBorder="1" applyAlignment="1" applyProtection="1">
      <alignment horizontal="right"/>
      <protection locked="0"/>
    </xf>
    <xf numFmtId="176" fontId="3" fillId="0" borderId="6" xfId="0" applyFont="1" applyBorder="1" applyAlignment="1" applyProtection="1">
      <alignment horizontal="center" vertical="center"/>
      <protection locked="0"/>
    </xf>
    <xf numFmtId="176" fontId="3" fillId="0" borderId="7" xfId="0" applyFont="1" applyBorder="1" applyAlignment="1" applyProtection="1">
      <alignment horizontal="center" vertical="center"/>
      <protection locked="0"/>
    </xf>
    <xf numFmtId="176" fontId="2" fillId="0" borderId="7" xfId="0" applyFont="1" applyBorder="1" applyAlignment="1" applyProtection="1">
      <alignment horizontal="center" vertical="center"/>
      <protection locked="0"/>
    </xf>
    <xf numFmtId="176" fontId="9" fillId="0" borderId="7" xfId="0" applyFont="1" applyBorder="1" applyAlignment="1" applyProtection="1">
      <alignment horizontal="center" vertical="center"/>
      <protection locked="0"/>
    </xf>
    <xf numFmtId="177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2" fillId="0" borderId="0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177" fontId="3" fillId="0" borderId="7" xfId="1" applyFont="1" applyBorder="1" applyProtection="1">
      <protection locked="0"/>
    </xf>
    <xf numFmtId="0" fontId="3" fillId="0" borderId="0" xfId="2" applyFont="1" applyFill="1" applyAlignment="1" applyProtection="1">
      <alignment horizontal="center"/>
      <protection locked="0"/>
    </xf>
    <xf numFmtId="0" fontId="10" fillId="0" borderId="0" xfId="2" applyFont="1" applyFill="1" applyAlignment="1" applyProtection="1">
      <alignment horizontal="center" vertical="center"/>
      <protection locked="0"/>
    </xf>
    <xf numFmtId="182" fontId="6" fillId="0" borderId="1" xfId="0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Protection="1">
      <protection locked="0"/>
    </xf>
    <xf numFmtId="181" fontId="9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center" vertical="center"/>
    </xf>
    <xf numFmtId="176" fontId="5" fillId="0" borderId="1" xfId="0" applyFont="1" applyBorder="1" applyAlignment="1" applyProtection="1">
      <alignment horizontal="center" vertical="center" wrapText="1"/>
    </xf>
    <xf numFmtId="186" fontId="9" fillId="3" borderId="1" xfId="0" applyNumberFormat="1" applyFont="1" applyFill="1" applyBorder="1" applyAlignment="1" applyProtection="1">
      <alignment horizontal="center" vertical="center"/>
      <protection locked="0"/>
    </xf>
    <xf numFmtId="187" fontId="9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Font="1" applyBorder="1" applyAlignment="1" applyProtection="1">
      <alignment horizontal="center" vertical="center"/>
    </xf>
    <xf numFmtId="180" fontId="13" fillId="0" borderId="1" xfId="1" applyNumberFormat="1" applyFont="1" applyFill="1" applyBorder="1" applyAlignment="1" applyProtection="1">
      <alignment horizontal="center" vertical="center"/>
    </xf>
    <xf numFmtId="181" fontId="3" fillId="0" borderId="0" xfId="2" applyNumberFormat="1" applyFont="1" applyAlignment="1" applyProtection="1">
      <alignment horizontal="center" vertical="center"/>
      <protection locked="0"/>
    </xf>
    <xf numFmtId="180" fontId="14" fillId="0" borderId="8" xfId="1" applyNumberFormat="1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horizontal="left" vertical="center"/>
    </xf>
    <xf numFmtId="176" fontId="6" fillId="0" borderId="9" xfId="0" applyFont="1" applyBorder="1" applyAlignment="1" applyProtection="1">
      <alignment vertical="top"/>
      <protection locked="0"/>
    </xf>
    <xf numFmtId="176" fontId="6" fillId="0" borderId="9" xfId="0" applyFont="1" applyBorder="1" applyAlignment="1" applyProtection="1">
      <alignment vertical="center"/>
    </xf>
    <xf numFmtId="176" fontId="6" fillId="0" borderId="10" xfId="0" applyFont="1" applyBorder="1" applyAlignment="1" applyProtection="1">
      <alignment vertical="center"/>
    </xf>
    <xf numFmtId="184" fontId="6" fillId="0" borderId="9" xfId="0" applyNumberFormat="1" applyFont="1" applyBorder="1" applyAlignment="1" applyProtection="1">
      <alignment horizontal="left" vertical="center"/>
    </xf>
    <xf numFmtId="176" fontId="3" fillId="0" borderId="9" xfId="0" applyFont="1" applyBorder="1" applyProtection="1">
      <protection locked="0"/>
    </xf>
    <xf numFmtId="188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1" xfId="2" applyFont="1" applyBorder="1" applyAlignment="1" applyProtection="1">
      <alignment horizontal="center" vertical="center"/>
    </xf>
    <xf numFmtId="176" fontId="2" fillId="0" borderId="1" xfId="0" applyFont="1" applyBorder="1" applyAlignment="1" applyProtection="1">
      <alignment horizontal="centerContinuous" vertical="center"/>
    </xf>
    <xf numFmtId="178" fontId="9" fillId="0" borderId="1" xfId="2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176" fontId="3" fillId="0" borderId="10" xfId="0" applyFont="1" applyBorder="1" applyAlignment="1" applyProtection="1">
      <alignment horizontal="center" vertical="center"/>
      <protection locked="0"/>
    </xf>
    <xf numFmtId="176" fontId="15" fillId="0" borderId="1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177" fontId="3" fillId="0" borderId="1" xfId="1" quotePrefix="1" applyFont="1" applyBorder="1" applyAlignment="1" applyProtection="1">
      <alignment horizontal="center" vertical="center"/>
    </xf>
    <xf numFmtId="178" fontId="6" fillId="3" borderId="1" xfId="1" quotePrefix="1" applyNumberFormat="1" applyFont="1" applyFill="1" applyBorder="1" applyAlignment="1" applyProtection="1">
      <alignment horizontal="center" vertical="center"/>
      <protection locked="0"/>
    </xf>
    <xf numFmtId="177" fontId="6" fillId="0" borderId="0" xfId="1" quotePrefix="1" applyFont="1" applyBorder="1" applyAlignment="1" applyProtection="1">
      <alignment horizontal="center" vertical="top"/>
    </xf>
    <xf numFmtId="183" fontId="6" fillId="0" borderId="7" xfId="1" quotePrefix="1" applyNumberFormat="1" applyFont="1" applyBorder="1" applyAlignment="1" applyProtection="1">
      <alignment horizontal="left" vertical="center"/>
    </xf>
    <xf numFmtId="177" fontId="3" fillId="0" borderId="3" xfId="1" applyFont="1" applyBorder="1" applyAlignment="1" applyProtection="1">
      <alignment horizontal="center" vertical="center"/>
    </xf>
    <xf numFmtId="177" fontId="3" fillId="0" borderId="4" xfId="1" applyFont="1" applyBorder="1" applyAlignment="1" applyProtection="1">
      <alignment horizontal="center" vertical="center"/>
    </xf>
    <xf numFmtId="177" fontId="3" fillId="0" borderId="8" xfId="1" applyFont="1" applyBorder="1" applyAlignment="1" applyProtection="1">
      <alignment horizontal="center" vertical="center"/>
    </xf>
    <xf numFmtId="177" fontId="3" fillId="0" borderId="6" xfId="1" applyFont="1" applyBorder="1" applyAlignment="1" applyProtection="1">
      <alignment horizontal="center" vertical="center"/>
    </xf>
    <xf numFmtId="177" fontId="3" fillId="0" borderId="7" xfId="1" applyFont="1" applyBorder="1" applyAlignment="1" applyProtection="1">
      <alignment horizontal="center" vertical="center"/>
    </xf>
    <xf numFmtId="177" fontId="3" fillId="0" borderId="10" xfId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8" xfId="0" applyNumberFormat="1" applyFont="1" applyBorder="1" applyAlignment="1" applyProtection="1">
      <alignment horizontal="center" vertical="center"/>
      <protection locked="0"/>
    </xf>
    <xf numFmtId="176" fontId="0" fillId="0" borderId="6" xfId="0" applyFont="1" applyBorder="1" applyAlignment="1" applyProtection="1">
      <alignment horizontal="center" vertical="center"/>
      <protection locked="0"/>
    </xf>
    <xf numFmtId="176" fontId="0" fillId="0" borderId="10" xfId="0" applyFont="1" applyBorder="1" applyAlignment="1" applyProtection="1">
      <alignment horizontal="center" vertical="center"/>
      <protection locked="0"/>
    </xf>
    <xf numFmtId="176" fontId="5" fillId="0" borderId="3" xfId="0" applyFont="1" applyBorder="1" applyAlignment="1" applyProtection="1">
      <alignment horizontal="center" vertical="center"/>
      <protection locked="0"/>
    </xf>
    <xf numFmtId="176" fontId="5" fillId="0" borderId="8" xfId="0" applyFont="1" applyBorder="1" applyAlignment="1" applyProtection="1">
      <alignment horizontal="center" vertical="center"/>
      <protection locked="0"/>
    </xf>
    <xf numFmtId="176" fontId="5" fillId="0" borderId="1" xfId="0" applyFont="1" applyBorder="1" applyAlignment="1" applyProtection="1">
      <alignment horizontal="center" vertical="center" wrapText="1"/>
    </xf>
    <xf numFmtId="176" fontId="0" fillId="0" borderId="1" xfId="0" applyBorder="1" applyAlignment="1" applyProtection="1">
      <alignment horizontal="center" vertical="center" wrapText="1"/>
    </xf>
    <xf numFmtId="187" fontId="9" fillId="3" borderId="13" xfId="0" applyNumberFormat="1" applyFont="1" applyFill="1" applyBorder="1" applyAlignment="1" applyProtection="1">
      <alignment horizontal="center" vertical="center"/>
      <protection locked="0"/>
    </xf>
    <xf numFmtId="187" fontId="9" fillId="3" borderId="15" xfId="0" applyNumberFormat="1" applyFont="1" applyFill="1" applyBorder="1" applyAlignment="1" applyProtection="1">
      <alignment horizontal="center" vertical="center"/>
      <protection locked="0"/>
    </xf>
    <xf numFmtId="183" fontId="6" fillId="0" borderId="0" xfId="1" applyNumberFormat="1" applyFont="1" applyBorder="1" applyAlignment="1" applyProtection="1">
      <alignment horizontal="left" vertical="top"/>
      <protection locked="0"/>
    </xf>
    <xf numFmtId="177" fontId="3" fillId="0" borderId="3" xfId="1" applyFont="1" applyBorder="1" applyAlignment="1" applyProtection="1">
      <alignment horizontal="left" vertical="center"/>
    </xf>
    <xf numFmtId="177" fontId="3" fillId="0" borderId="4" xfId="1" applyFont="1" applyBorder="1" applyAlignment="1" applyProtection="1">
      <alignment horizontal="left" vertical="center"/>
    </xf>
    <xf numFmtId="176" fontId="0" fillId="0" borderId="4" xfId="0" applyFont="1" applyBorder="1" applyAlignment="1" applyProtection="1"/>
    <xf numFmtId="176" fontId="0" fillId="0" borderId="8" xfId="0" applyFont="1" applyBorder="1" applyAlignment="1" applyProtection="1"/>
    <xf numFmtId="176" fontId="5" fillId="0" borderId="12" xfId="0" applyFont="1" applyBorder="1" applyAlignment="1" applyProtection="1">
      <alignment horizontal="center" vertical="center"/>
    </xf>
    <xf numFmtId="176" fontId="11" fillId="0" borderId="1" xfId="0" applyFont="1" applyBorder="1" applyAlignment="1" applyProtection="1">
      <alignment horizontal="center" vertical="center"/>
    </xf>
    <xf numFmtId="187" fontId="9" fillId="2" borderId="1" xfId="0" applyNumberFormat="1" applyFont="1" applyFill="1" applyBorder="1" applyAlignment="1" applyProtection="1">
      <alignment horizontal="center" vertical="center" wrapText="1"/>
    </xf>
    <xf numFmtId="176" fontId="12" fillId="0" borderId="1" xfId="0" applyFont="1" applyBorder="1" applyAlignment="1" applyProtection="1">
      <alignment horizontal="center" vertical="center" wrapText="1"/>
    </xf>
    <xf numFmtId="182" fontId="16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Font="1" applyBorder="1" applyAlignment="1" applyProtection="1">
      <alignment horizontal="center" vertical="center"/>
    </xf>
    <xf numFmtId="181" fontId="9" fillId="0" borderId="13" xfId="2" applyNumberFormat="1" applyFont="1" applyBorder="1" applyAlignment="1" applyProtection="1">
      <alignment horizontal="center" vertical="center" wrapText="1"/>
    </xf>
    <xf numFmtId="176" fontId="12" fillId="0" borderId="14" xfId="0" applyFont="1" applyBorder="1" applyAlignment="1" applyProtection="1">
      <alignment horizontal="center" vertical="center" wrapText="1"/>
    </xf>
    <xf numFmtId="176" fontId="12" fillId="0" borderId="15" xfId="0" applyFont="1" applyBorder="1" applyAlignment="1" applyProtection="1">
      <alignment horizontal="center" vertical="center" wrapText="1"/>
    </xf>
    <xf numFmtId="176" fontId="5" fillId="0" borderId="12" xfId="0" applyFont="1" applyBorder="1" applyAlignment="1" applyProtection="1">
      <alignment horizontal="center" vertical="center" wrapText="1"/>
    </xf>
    <xf numFmtId="176" fontId="11" fillId="0" borderId="12" xfId="0" applyFont="1" applyBorder="1" applyAlignment="1" applyProtection="1">
      <alignment horizontal="center" vertical="center" wrapText="1"/>
    </xf>
    <xf numFmtId="176" fontId="5" fillId="0" borderId="12" xfId="0" applyFont="1" applyFill="1" applyBorder="1" applyAlignment="1" applyProtection="1">
      <alignment horizontal="center" vertical="center" wrapText="1"/>
    </xf>
    <xf numFmtId="176" fontId="9" fillId="0" borderId="2" xfId="0" applyFont="1" applyBorder="1" applyAlignment="1" applyProtection="1">
      <alignment horizontal="center" vertical="center"/>
    </xf>
    <xf numFmtId="176" fontId="9" fillId="0" borderId="12" xfId="0" applyFont="1" applyBorder="1" applyAlignment="1" applyProtection="1">
      <alignment horizontal="center" vertical="center"/>
    </xf>
    <xf numFmtId="177" fontId="7" fillId="0" borderId="13" xfId="1" applyFont="1" applyBorder="1" applyAlignment="1" applyProtection="1">
      <alignment horizontal="center" vertical="center" wrapText="1"/>
    </xf>
    <xf numFmtId="176" fontId="0" fillId="0" borderId="15" xfId="0" applyFont="1" applyBorder="1" applyAlignment="1" applyProtection="1">
      <alignment horizontal="center" vertical="center"/>
    </xf>
    <xf numFmtId="177" fontId="8" fillId="0" borderId="13" xfId="1" applyFont="1" applyBorder="1" applyAlignment="1" applyProtection="1">
      <alignment horizontal="center" vertical="center" wrapText="1"/>
      <protection locked="0"/>
    </xf>
    <xf numFmtId="176" fontId="0" fillId="0" borderId="15" xfId="0" applyFont="1" applyBorder="1" applyAlignment="1" applyProtection="1">
      <alignment horizontal="center" vertical="center"/>
      <protection locked="0"/>
    </xf>
    <xf numFmtId="177" fontId="6" fillId="0" borderId="13" xfId="1" applyFont="1" applyBorder="1" applyAlignment="1" applyProtection="1">
      <alignment horizontal="center" vertical="center" wrapText="1"/>
    </xf>
    <xf numFmtId="176" fontId="0" fillId="0" borderId="15" xfId="0" applyFont="1" applyBorder="1" applyAlignment="1" applyProtection="1">
      <alignment horizontal="center" vertical="center" wrapText="1"/>
    </xf>
    <xf numFmtId="176" fontId="6" fillId="0" borderId="13" xfId="0" applyFont="1" applyBorder="1" applyAlignment="1" applyProtection="1">
      <alignment horizontal="center" vertical="center" wrapText="1"/>
    </xf>
    <xf numFmtId="177" fontId="1" fillId="3" borderId="2" xfId="1" applyFont="1" applyFill="1" applyBorder="1" applyAlignment="1" applyProtection="1">
      <alignment horizontal="center" vertical="center"/>
      <protection locked="0"/>
    </xf>
    <xf numFmtId="177" fontId="3" fillId="3" borderId="11" xfId="1" applyFont="1" applyFill="1" applyBorder="1" applyAlignment="1" applyProtection="1">
      <alignment horizontal="center" vertical="center"/>
      <protection locked="0"/>
    </xf>
    <xf numFmtId="177" fontId="3" fillId="3" borderId="12" xfId="1" applyFont="1" applyFill="1" applyBorder="1" applyAlignment="1" applyProtection="1">
      <alignment horizontal="center" vertical="center"/>
      <protection locked="0"/>
    </xf>
    <xf numFmtId="177" fontId="3" fillId="0" borderId="2" xfId="1" applyFont="1" applyFill="1" applyBorder="1" applyAlignment="1" applyProtection="1">
      <alignment horizontal="center" vertical="center"/>
    </xf>
    <xf numFmtId="177" fontId="3" fillId="0" borderId="12" xfId="1" applyFont="1" applyFill="1" applyBorder="1" applyAlignment="1" applyProtection="1">
      <alignment horizontal="center" vertical="center"/>
    </xf>
    <xf numFmtId="177" fontId="3" fillId="3" borderId="2" xfId="1" applyFont="1" applyFill="1" applyBorder="1" applyAlignment="1" applyProtection="1">
      <alignment horizontal="center"/>
      <protection locked="0"/>
    </xf>
    <xf numFmtId="177" fontId="3" fillId="3" borderId="11" xfId="1" applyFont="1" applyFill="1" applyBorder="1" applyAlignment="1" applyProtection="1">
      <alignment horizontal="center"/>
      <protection locked="0"/>
    </xf>
    <xf numFmtId="177" fontId="3" fillId="3" borderId="12" xfId="1" applyFont="1" applyFill="1" applyBorder="1" applyAlignment="1" applyProtection="1">
      <alignment horizontal="center"/>
      <protection locked="0"/>
    </xf>
    <xf numFmtId="177" fontId="3" fillId="0" borderId="2" xfId="1" quotePrefix="1" applyFont="1" applyFill="1" applyBorder="1" applyAlignment="1" applyProtection="1">
      <alignment horizontal="center" vertical="center"/>
    </xf>
    <xf numFmtId="177" fontId="3" fillId="0" borderId="11" xfId="1" applyFont="1" applyFill="1" applyBorder="1" applyAlignment="1" applyProtection="1">
      <alignment horizontal="center" vertical="center"/>
    </xf>
    <xf numFmtId="176" fontId="6" fillId="3" borderId="4" xfId="0" applyFont="1" applyFill="1" applyBorder="1" applyAlignment="1" applyProtection="1">
      <alignment horizontal="left" vertical="center"/>
      <protection locked="0"/>
    </xf>
    <xf numFmtId="176" fontId="0" fillId="3" borderId="4" xfId="0" applyFont="1" applyFill="1" applyBorder="1" applyAlignment="1" applyProtection="1">
      <alignment vertical="center"/>
      <protection locked="0"/>
    </xf>
    <xf numFmtId="177" fontId="2" fillId="0" borderId="0" xfId="1" quotePrefix="1" applyFont="1" applyBorder="1" applyAlignment="1" applyProtection="1">
      <alignment horizontal="center"/>
    </xf>
    <xf numFmtId="177" fontId="2" fillId="0" borderId="0" xfId="1" applyFont="1" applyBorder="1" applyAlignment="1" applyProtection="1">
      <alignment horizontal="center"/>
    </xf>
    <xf numFmtId="177" fontId="6" fillId="3" borderId="2" xfId="1" applyFont="1" applyFill="1" applyBorder="1" applyAlignment="1" applyProtection="1">
      <alignment horizontal="center" vertical="center"/>
      <protection locked="0"/>
    </xf>
    <xf numFmtId="177" fontId="6" fillId="3" borderId="11" xfId="1" applyFont="1" applyFill="1" applyBorder="1" applyAlignment="1" applyProtection="1">
      <alignment horizontal="center" vertical="center"/>
      <protection locked="0"/>
    </xf>
    <xf numFmtId="177" fontId="6" fillId="3" borderId="12" xfId="1" applyFont="1" applyFill="1" applyBorder="1" applyAlignment="1" applyProtection="1">
      <alignment horizontal="center" vertical="center"/>
      <protection locked="0"/>
    </xf>
    <xf numFmtId="177" fontId="3" fillId="0" borderId="2" xfId="1" quotePrefix="1" applyFont="1" applyBorder="1" applyAlignment="1" applyProtection="1">
      <alignment horizontal="center" vertical="center"/>
    </xf>
    <xf numFmtId="177" fontId="3" fillId="0" borderId="12" xfId="1" applyFont="1" applyBorder="1" applyAlignment="1" applyProtection="1">
      <alignment horizontal="center" vertical="center"/>
    </xf>
    <xf numFmtId="177" fontId="1" fillId="3" borderId="2" xfId="1" applyFont="1" applyFill="1" applyBorder="1" applyAlignment="1" applyProtection="1">
      <alignment horizontal="center"/>
      <protection locked="0"/>
    </xf>
    <xf numFmtId="57" fontId="6" fillId="3" borderId="2" xfId="1" applyNumberFormat="1" applyFont="1" applyFill="1" applyBorder="1" applyAlignment="1" applyProtection="1">
      <alignment horizontal="center" vertical="center"/>
      <protection locked="0"/>
    </xf>
    <xf numFmtId="57" fontId="6" fillId="3" borderId="11" xfId="1" applyNumberFormat="1" applyFont="1" applyFill="1" applyBorder="1" applyAlignment="1" applyProtection="1">
      <alignment horizontal="center" vertical="center"/>
      <protection locked="0"/>
    </xf>
    <xf numFmtId="57" fontId="6" fillId="3" borderId="12" xfId="1" applyNumberFormat="1" applyFont="1" applyFill="1" applyBorder="1" applyAlignment="1" applyProtection="1">
      <alignment horizontal="center" vertical="center"/>
      <protection locked="0"/>
    </xf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'P4'!$B$20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0"/>
            <c:dispEq val="0"/>
          </c:trendline>
          <c:xVal>
            <c:numRef>
              <c:f>'P4'!$G$9:$G$13</c:f>
              <c:numCache>
                <c:formatCode>0.00_)</c:formatCode>
                <c:ptCount val="5"/>
                <c:pt idx="0">
                  <c:v>1.1000000000000001</c:v>
                </c:pt>
                <c:pt idx="1">
                  <c:v>1.21</c:v>
                </c:pt>
                <c:pt idx="2">
                  <c:v>1.3</c:v>
                </c:pt>
                <c:pt idx="3">
                  <c:v>1.4</c:v>
                </c:pt>
                <c:pt idx="4">
                  <c:v>1.48</c:v>
                </c:pt>
              </c:numCache>
            </c:numRef>
          </c:xVal>
          <c:yVal>
            <c:numRef>
              <c:f>'P4'!$F$9:$F$13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57-4777-8C54-B6A94D0ED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370463"/>
        <c:axId val="1"/>
      </c:scatterChart>
      <c:valAx>
        <c:axId val="772370463"/>
        <c:scaling>
          <c:orientation val="minMax"/>
          <c:max val="1.6"/>
          <c:min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實際流量(Q</a:t>
                </a:r>
                <a:r>
                  <a:rPr lang="zh-TW" altLang="en-US" sz="1000" b="0" i="0" u="none" strike="noStrike" baseline="-25000">
                    <a:solidFill>
                      <a:srgbClr val="000000"/>
                    </a:solidFill>
                    <a:latin typeface="標楷體"/>
                    <a:ea typeface="標楷體"/>
                  </a:rPr>
                  <a:t>std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) m</a:t>
                </a:r>
                <a:r>
                  <a:rPr lang="zh-TW" altLang="en-US" sz="1000" b="0" i="0" u="none" strike="noStrike" baseline="30000">
                    <a:solidFill>
                      <a:srgbClr val="000000"/>
                    </a:solidFill>
                    <a:latin typeface="標楷體"/>
                    <a:ea typeface="標楷體"/>
                  </a:rPr>
                  <a:t>3</a:t>
                </a: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/min</a:t>
                </a:r>
              </a:p>
            </c:rich>
          </c:tx>
          <c:layout>
            <c:manualLayout>
              <c:xMode val="edge"/>
              <c:yMode val="edge"/>
              <c:x val="0.48705581689602689"/>
              <c:y val="0.899679295245626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</a:rPr>
                  <a:t>流量計讀值 (Y)</a:t>
                </a:r>
              </a:p>
            </c:rich>
          </c:tx>
          <c:layout>
            <c:manualLayout>
              <c:xMode val="edge"/>
              <c:yMode val="edge"/>
              <c:x val="8.0904456996710537E-3"/>
              <c:y val="0.27508312465558221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77237046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696930" name="Chart 3">
          <a:extLst>
            <a:ext uri="{FF2B5EF4-FFF2-40B4-BE49-F238E27FC236}">
              <a16:creationId xmlns:a16="http://schemas.microsoft.com/office/drawing/2014/main" id="{B548AFEE-2F41-4189-9855-C0E5B8B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174677</xdr:rowOff>
    </xdr:to>
    <xdr:sp macro="" textlink="">
      <xdr:nvSpPr>
        <xdr:cNvPr id="2" name="文字方塊 2">
          <a:extLst>
            <a:ext uri="{FF2B5EF4-FFF2-40B4-BE49-F238E27FC236}">
              <a16:creationId xmlns:a16="http://schemas.microsoft.com/office/drawing/2014/main" id="{53EAF2AE-357F-450B-9313-78F68734C0F6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32" name="圖片 2">
          <a:extLst>
            <a:ext uri="{FF2B5EF4-FFF2-40B4-BE49-F238E27FC236}">
              <a16:creationId xmlns:a16="http://schemas.microsoft.com/office/drawing/2014/main" id="{0F67920A-1E21-4744-9F78-CF7E549F6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33" name="圖片 4">
          <a:extLst>
            <a:ext uri="{FF2B5EF4-FFF2-40B4-BE49-F238E27FC236}">
              <a16:creationId xmlns:a16="http://schemas.microsoft.com/office/drawing/2014/main" id="{06A95DA1-1E2D-4F97-BA5A-522E83B9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289496</xdr:colOff>
      <xdr:row>18</xdr:row>
      <xdr:rowOff>174677</xdr:rowOff>
    </xdr:to>
    <xdr:sp macro="" textlink="">
      <xdr:nvSpPr>
        <xdr:cNvPr id="3" name="文字方塊 5">
          <a:extLst>
            <a:ext uri="{FF2B5EF4-FFF2-40B4-BE49-F238E27FC236}">
              <a16:creationId xmlns:a16="http://schemas.microsoft.com/office/drawing/2014/main" id="{D3D3E555-088C-49C1-B780-043A4BFB5592}"/>
            </a:ext>
          </a:extLst>
        </xdr:cNvPr>
        <xdr:cNvSpPr txBox="1"/>
      </xdr:nvSpPr>
      <xdr:spPr>
        <a:xfrm>
          <a:off x="5029200" y="5200650"/>
          <a:ext cx="2628900" cy="410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696935" name="圖片 2">
          <a:extLst>
            <a:ext uri="{FF2B5EF4-FFF2-40B4-BE49-F238E27FC236}">
              <a16:creationId xmlns:a16="http://schemas.microsoft.com/office/drawing/2014/main" id="{39B3DFFE-480F-4609-BA60-0D097CBA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382"/>
          <a:ext cx="2809702" cy="59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696936" name="圖片 4">
          <a:extLst>
            <a:ext uri="{FF2B5EF4-FFF2-40B4-BE49-F238E27FC236}">
              <a16:creationId xmlns:a16="http://schemas.microsoft.com/office/drawing/2014/main" id="{ED7A65D7-AC7B-41AE-87F1-A7BC71072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62945"/>
          <a:ext cx="2128058" cy="44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1" zoomScale="70" workbookViewId="0">
      <selection activeCell="B6" sqref="B6:D6"/>
    </sheetView>
  </sheetViews>
  <sheetFormatPr defaultColWidth="9" defaultRowHeight="16.399999999999999" x14ac:dyDescent="0.3"/>
  <cols>
    <col min="1" max="1" width="11" style="6" customWidth="1"/>
    <col min="2" max="2" width="12.109375" style="6" customWidth="1"/>
    <col min="3" max="4" width="10.6640625" style="6" customWidth="1"/>
    <col min="5" max="5" width="11.44140625" style="6" customWidth="1"/>
    <col min="6" max="9" width="10.21875" style="6" customWidth="1"/>
    <col min="10" max="11" width="9" style="6"/>
    <col min="12" max="12" width="13.77734375" style="6" customWidth="1"/>
    <col min="13" max="13" width="18.44140625" style="7" customWidth="1"/>
    <col min="14" max="14" width="24.6640625" style="7" customWidth="1"/>
    <col min="15" max="15" width="24.6640625" style="6" customWidth="1"/>
    <col min="16" max="16" width="15.88671875" style="6" customWidth="1"/>
    <col min="17" max="17" width="29.77734375" style="6" customWidth="1"/>
    <col min="18" max="16384" width="9" style="6"/>
  </cols>
  <sheetData>
    <row r="1" spans="1:17" ht="15.75" customHeight="1" x14ac:dyDescent="0.3">
      <c r="A1" s="8"/>
      <c r="B1" s="8"/>
      <c r="C1" s="9"/>
      <c r="D1" s="9"/>
      <c r="E1" s="9"/>
      <c r="F1" s="9"/>
      <c r="G1" s="9"/>
      <c r="H1" s="9"/>
      <c r="I1" s="64"/>
      <c r="J1" s="65"/>
    </row>
    <row r="2" spans="1:17" s="1" customFormat="1" ht="25.2" customHeight="1" x14ac:dyDescent="0.4">
      <c r="A2" s="154" t="s">
        <v>0</v>
      </c>
      <c r="B2" s="155"/>
      <c r="C2" s="155"/>
      <c r="D2" s="155"/>
      <c r="E2" s="155"/>
      <c r="F2" s="155"/>
      <c r="G2" s="155"/>
      <c r="H2" s="155"/>
      <c r="I2" s="155"/>
      <c r="J2" s="66"/>
      <c r="M2" s="67"/>
      <c r="N2" s="67"/>
    </row>
    <row r="3" spans="1:17" ht="10.5" customHeight="1" x14ac:dyDescent="0.3">
      <c r="A3" s="9"/>
      <c r="B3" s="9"/>
      <c r="C3" s="10"/>
      <c r="D3" s="9"/>
      <c r="E3" s="9"/>
      <c r="F3" s="9"/>
      <c r="G3" s="9"/>
      <c r="H3" s="9"/>
      <c r="I3" s="68"/>
    </row>
    <row r="4" spans="1:17" ht="25.2" customHeight="1" x14ac:dyDescent="0.3">
      <c r="A4" s="96" t="s">
        <v>1</v>
      </c>
      <c r="B4" s="156" t="s">
        <v>63</v>
      </c>
      <c r="C4" s="157"/>
      <c r="D4" s="158"/>
      <c r="E4" s="159" t="s">
        <v>2</v>
      </c>
      <c r="F4" s="160"/>
      <c r="G4" s="161" t="s">
        <v>60</v>
      </c>
      <c r="H4" s="148"/>
      <c r="I4" s="149"/>
    </row>
    <row r="5" spans="1:17" s="2" customFormat="1" ht="25.2" customHeight="1" x14ac:dyDescent="0.3">
      <c r="A5" s="12" t="s">
        <v>3</v>
      </c>
      <c r="B5" s="162" t="s">
        <v>70</v>
      </c>
      <c r="C5" s="163"/>
      <c r="D5" s="164"/>
      <c r="E5" s="145" t="s">
        <v>4</v>
      </c>
      <c r="F5" s="146"/>
      <c r="G5" s="161" t="s">
        <v>61</v>
      </c>
      <c r="H5" s="148"/>
      <c r="I5" s="149"/>
      <c r="K5" s="2" t="s">
        <v>5</v>
      </c>
      <c r="M5" s="69"/>
      <c r="N5" s="69"/>
    </row>
    <row r="6" spans="1:17" s="2" customFormat="1" ht="25.2" customHeight="1" x14ac:dyDescent="0.3">
      <c r="A6" s="12" t="s">
        <v>6</v>
      </c>
      <c r="B6" s="142" t="s">
        <v>62</v>
      </c>
      <c r="C6" s="143"/>
      <c r="D6" s="144"/>
      <c r="E6" s="145" t="s">
        <v>7</v>
      </c>
      <c r="F6" s="146"/>
      <c r="G6" s="147" t="s">
        <v>8</v>
      </c>
      <c r="H6" s="148"/>
      <c r="I6" s="149"/>
      <c r="K6" s="2" t="s">
        <v>9</v>
      </c>
      <c r="M6" s="69"/>
      <c r="N6" s="69"/>
    </row>
    <row r="7" spans="1:17" s="2" customFormat="1" ht="25.2" customHeight="1" x14ac:dyDescent="0.3">
      <c r="A7" s="135" t="s">
        <v>10</v>
      </c>
      <c r="B7" s="137" t="s">
        <v>11</v>
      </c>
      <c r="C7" s="150" t="s">
        <v>12</v>
      </c>
      <c r="D7" s="151"/>
      <c r="E7" s="151"/>
      <c r="F7" s="139" t="s">
        <v>13</v>
      </c>
      <c r="G7" s="139" t="s">
        <v>14</v>
      </c>
      <c r="H7" s="139" t="s">
        <v>15</v>
      </c>
      <c r="I7" s="141" t="s">
        <v>16</v>
      </c>
      <c r="M7" s="69"/>
      <c r="N7" s="70" t="s">
        <v>17</v>
      </c>
    </row>
    <row r="8" spans="1:17" ht="25.2" customHeight="1" x14ac:dyDescent="0.3">
      <c r="A8" s="136"/>
      <c r="B8" s="138"/>
      <c r="C8" s="11" t="s">
        <v>18</v>
      </c>
      <c r="D8" s="96" t="s">
        <v>19</v>
      </c>
      <c r="E8" s="96" t="s">
        <v>20</v>
      </c>
      <c r="F8" s="140"/>
      <c r="G8" s="140"/>
      <c r="H8" s="140"/>
      <c r="I8" s="140"/>
    </row>
    <row r="9" spans="1:17" ht="25.2" customHeight="1" x14ac:dyDescent="0.3">
      <c r="A9" s="97" t="s">
        <v>65</v>
      </c>
      <c r="B9" s="13">
        <v>5</v>
      </c>
      <c r="C9" s="14">
        <v>1.1000000000000001</v>
      </c>
      <c r="D9" s="14">
        <v>1.1000000000000001</v>
      </c>
      <c r="E9" s="14">
        <v>1.1000000000000001</v>
      </c>
      <c r="F9" s="15">
        <f>IF(E9="","",AVERAGE(C9:E9))</f>
        <v>1.1000000000000001</v>
      </c>
      <c r="G9" s="16">
        <f>IF(E9="","",(SQRT(B9*($H$15/760)*(298/($H$14+273)))-$E$16)/$C$16)</f>
        <v>1.1000000000000001</v>
      </c>
      <c r="H9" s="16">
        <f>IF(E9="","",($E$20*G9+$G$20))</f>
        <v>1.0900000000000001</v>
      </c>
      <c r="I9" s="71">
        <f>IF(E9="","",(F9-H9)/H9*100)</f>
        <v>0.9</v>
      </c>
      <c r="J9" s="72"/>
      <c r="K9" s="127" t="s">
        <v>21</v>
      </c>
      <c r="L9" s="121" t="s">
        <v>22</v>
      </c>
      <c r="M9" s="122"/>
      <c r="N9" s="73"/>
      <c r="O9" s="74" t="s">
        <v>23</v>
      </c>
      <c r="P9" s="73"/>
      <c r="Q9" s="94" t="s">
        <v>24</v>
      </c>
    </row>
    <row r="10" spans="1:17" ht="25.2" customHeight="1" x14ac:dyDescent="0.3">
      <c r="A10" s="97" t="s">
        <v>66</v>
      </c>
      <c r="B10" s="13">
        <v>6</v>
      </c>
      <c r="C10" s="14">
        <v>1.2</v>
      </c>
      <c r="D10" s="14">
        <v>1.2</v>
      </c>
      <c r="E10" s="14">
        <v>1.2</v>
      </c>
      <c r="F10" s="15">
        <f>IF(E10="","",AVERAGE(C10:E10))</f>
        <v>1.2</v>
      </c>
      <c r="G10" s="16">
        <f>IF(E10="","",(SQRT(B10*($H$15/760)*(298/($H$14+273)))-$E$16)/$C$16)</f>
        <v>1.21</v>
      </c>
      <c r="H10" s="16">
        <f>IF(E10="","",($E$20*G10+$G$20))</f>
        <v>1.21</v>
      </c>
      <c r="I10" s="71">
        <f>IF(E10="","",(F10-H10)/H10*100)</f>
        <v>-0.8</v>
      </c>
      <c r="J10" s="72"/>
      <c r="K10" s="128"/>
      <c r="L10" s="130" t="s">
        <v>25</v>
      </c>
      <c r="M10" s="75" t="s">
        <v>26</v>
      </c>
      <c r="N10" s="76"/>
      <c r="O10" s="75" t="s">
        <v>27</v>
      </c>
      <c r="P10" s="77"/>
      <c r="Q10" s="125" t="str">
        <f>IF(N10="","",(P10-P11)/(P11)*100)</f>
        <v/>
      </c>
    </row>
    <row r="11" spans="1:17" ht="25.2" customHeight="1" x14ac:dyDescent="0.3">
      <c r="A11" s="97" t="s">
        <v>67</v>
      </c>
      <c r="B11" s="13">
        <v>7</v>
      </c>
      <c r="C11" s="14">
        <v>1.3</v>
      </c>
      <c r="D11" s="14">
        <v>1.3</v>
      </c>
      <c r="E11" s="14">
        <v>1.3</v>
      </c>
      <c r="F11" s="15">
        <f>IF(E11="","",AVERAGE(C11:E11))</f>
        <v>1.3</v>
      </c>
      <c r="G11" s="16">
        <f>IF(E11="","",(SQRT(B11*($H$15/760)*(298/($H$14+273)))-$E$16)/$C$16)</f>
        <v>1.3</v>
      </c>
      <c r="H11" s="16">
        <f>IF(E11="","",($E$20*G11+$G$20))</f>
        <v>1.3</v>
      </c>
      <c r="I11" s="71">
        <f>IF(E11="","",(F11-H11)/H11*100)</f>
        <v>0</v>
      </c>
      <c r="J11" s="72"/>
      <c r="K11" s="128"/>
      <c r="L11" s="131"/>
      <c r="M11" s="78" t="s">
        <v>28</v>
      </c>
      <c r="N11" s="79" t="str">
        <f>IF(N10="","",(SQRT(N10*(P9/760)*(298/(N9+273)))-E16)/C16)</f>
        <v/>
      </c>
      <c r="O11" s="78" t="s">
        <v>29</v>
      </c>
      <c r="P11" s="79" t="str">
        <f>IF(N10="","",N11*E20+G20)</f>
        <v/>
      </c>
      <c r="Q11" s="126"/>
    </row>
    <row r="12" spans="1:17" ht="25.2" customHeight="1" x14ac:dyDescent="0.3">
      <c r="A12" s="97" t="s">
        <v>68</v>
      </c>
      <c r="B12" s="13">
        <v>8.1</v>
      </c>
      <c r="C12" s="14">
        <v>1.4</v>
      </c>
      <c r="D12" s="14">
        <v>1.4</v>
      </c>
      <c r="E12" s="14">
        <v>1.4</v>
      </c>
      <c r="F12" s="15">
        <f>IF(E12="","",AVERAGE(C12:E12))</f>
        <v>1.4</v>
      </c>
      <c r="G12" s="16">
        <f>IF(E12="","",(SQRT(B12*($H$15/760)*(298/($H$14+273)))-$E$16)/$C$16)</f>
        <v>1.4</v>
      </c>
      <c r="H12" s="16">
        <f>IF(E12="","",($E$20*G12+$G$20))</f>
        <v>1.41</v>
      </c>
      <c r="I12" s="71">
        <f>IF(E12="","",(F12-H12)/H12*100)</f>
        <v>-0.7</v>
      </c>
      <c r="J12" s="72"/>
      <c r="K12" s="128"/>
      <c r="L12" s="5"/>
      <c r="M12" s="5"/>
      <c r="N12" s="5"/>
      <c r="O12" s="5"/>
      <c r="P12" s="80"/>
      <c r="Q12" s="95"/>
    </row>
    <row r="13" spans="1:17" ht="25.2" customHeight="1" x14ac:dyDescent="0.3">
      <c r="A13" s="97" t="s">
        <v>69</v>
      </c>
      <c r="B13" s="13">
        <v>9</v>
      </c>
      <c r="C13" s="14">
        <v>1.5</v>
      </c>
      <c r="D13" s="14">
        <v>1.5</v>
      </c>
      <c r="E13" s="14">
        <v>1.5</v>
      </c>
      <c r="F13" s="15">
        <f>IF(E13="","",AVERAGE(C13:E13))</f>
        <v>1.5</v>
      </c>
      <c r="G13" s="16">
        <f>IF(E9="","",(SQRT(B13*($H$15/760)*(298/($H$14+273)))-$E$16)/$C$16)</f>
        <v>1.48</v>
      </c>
      <c r="H13" s="16">
        <f>IF(E13="","",($E$20*G13+$G$20))</f>
        <v>1.49</v>
      </c>
      <c r="I13" s="71">
        <f>IF(E13="","",(F13-H13)/H13*100)</f>
        <v>0.7</v>
      </c>
      <c r="J13" s="72"/>
      <c r="K13" s="128"/>
      <c r="L13" s="132" t="s">
        <v>30</v>
      </c>
      <c r="M13" s="114"/>
      <c r="N13" s="112" t="s">
        <v>31</v>
      </c>
      <c r="O13" s="123" t="str">
        <f>IF(M13="","",ROUND((M13-G20)/E20,2))</f>
        <v/>
      </c>
      <c r="P13" s="5"/>
      <c r="Q13" s="5"/>
    </row>
    <row r="14" spans="1:17" s="3" customFormat="1" ht="22.75" customHeight="1" x14ac:dyDescent="0.3">
      <c r="A14" s="17" t="s">
        <v>32</v>
      </c>
      <c r="B14" s="18"/>
      <c r="C14" s="19"/>
      <c r="D14" s="152" t="s">
        <v>33</v>
      </c>
      <c r="E14" s="153"/>
      <c r="F14" s="20"/>
      <c r="G14" s="21" t="s">
        <v>34</v>
      </c>
      <c r="H14" s="22">
        <v>26.8</v>
      </c>
      <c r="I14" s="81" t="s">
        <v>35</v>
      </c>
      <c r="K14" s="129"/>
      <c r="L14" s="131"/>
      <c r="M14" s="115"/>
      <c r="N14" s="113"/>
      <c r="O14" s="124"/>
      <c r="P14" s="5"/>
      <c r="Q14" s="5"/>
    </row>
    <row r="15" spans="1:17" s="3" customFormat="1" ht="22.75" customHeight="1" x14ac:dyDescent="0.3">
      <c r="A15" s="23" t="s">
        <v>36</v>
      </c>
      <c r="B15" s="24"/>
      <c r="C15" s="25"/>
      <c r="D15" s="25"/>
      <c r="E15" s="26"/>
      <c r="F15" s="27"/>
      <c r="G15" s="28" t="s">
        <v>37</v>
      </c>
      <c r="H15" s="29">
        <v>751.5</v>
      </c>
      <c r="I15" s="82" t="s">
        <v>38</v>
      </c>
      <c r="L15" s="5"/>
    </row>
    <row r="16" spans="1:17" s="4" customFormat="1" ht="19" customHeight="1" x14ac:dyDescent="0.3">
      <c r="A16" s="30" t="s">
        <v>39</v>
      </c>
      <c r="B16" s="31"/>
      <c r="C16" s="32">
        <v>2.0185</v>
      </c>
      <c r="D16" s="98" t="s">
        <v>40</v>
      </c>
      <c r="E16" s="33">
        <v>-6.7999999999999996E-3</v>
      </c>
      <c r="F16" s="34"/>
      <c r="G16" s="116"/>
      <c r="H16" s="116"/>
      <c r="I16" s="83"/>
      <c r="K16" s="3"/>
      <c r="L16" s="5"/>
    </row>
    <row r="17" spans="1:17" s="3" customFormat="1" ht="25.2" customHeight="1" x14ac:dyDescent="0.3">
      <c r="A17" s="35" t="s">
        <v>41</v>
      </c>
      <c r="B17" s="36"/>
      <c r="C17" s="37"/>
      <c r="D17" s="38"/>
      <c r="E17" s="37"/>
      <c r="F17" s="37"/>
      <c r="G17" s="39"/>
      <c r="H17" s="39"/>
      <c r="I17" s="84"/>
    </row>
    <row r="18" spans="1:17" s="3" customFormat="1" ht="33.75" customHeight="1" x14ac:dyDescent="0.3">
      <c r="A18" s="40"/>
      <c r="B18" s="41"/>
      <c r="C18" s="42"/>
      <c r="D18" s="43"/>
      <c r="E18" s="42"/>
      <c r="F18" s="42"/>
      <c r="G18" s="44"/>
      <c r="H18" s="99" t="s">
        <v>42</v>
      </c>
      <c r="I18" s="85"/>
      <c r="K18" s="127" t="s">
        <v>43</v>
      </c>
      <c r="L18" s="132" t="s">
        <v>30</v>
      </c>
      <c r="M18" s="114"/>
      <c r="N18" s="112" t="s">
        <v>31</v>
      </c>
      <c r="O18" s="123" t="str">
        <f>IF(M18="","",ROUND((M18-G20)/E20,2))</f>
        <v/>
      </c>
    </row>
    <row r="19" spans="1:17" s="3" customFormat="1" ht="24.75" customHeight="1" x14ac:dyDescent="0.3">
      <c r="A19" s="117" t="s">
        <v>44</v>
      </c>
      <c r="B19" s="118"/>
      <c r="C19" s="119"/>
      <c r="D19" s="119"/>
      <c r="E19" s="119"/>
      <c r="F19" s="119"/>
      <c r="G19" s="119"/>
      <c r="H19" s="119"/>
      <c r="I19" s="120"/>
      <c r="K19" s="128"/>
      <c r="L19" s="131"/>
      <c r="M19" s="115"/>
      <c r="N19" s="113"/>
      <c r="O19" s="124"/>
    </row>
    <row r="20" spans="1:17" s="3" customFormat="1" ht="25.2" customHeight="1" x14ac:dyDescent="0.3">
      <c r="A20" s="45" t="s">
        <v>45</v>
      </c>
      <c r="B20" s="27"/>
      <c r="C20" s="46"/>
      <c r="D20" s="47" t="s">
        <v>46</v>
      </c>
      <c r="E20" s="48">
        <f>IF(E13="","",SLOPE(F9:F13,G9:G13))</f>
        <v>1.05</v>
      </c>
      <c r="F20" s="49" t="s">
        <v>47</v>
      </c>
      <c r="G20" s="50">
        <f>IF(E13="","",INTERCEPT(F9:F13,G9:G13))</f>
        <v>-6.2799999999999995E-2</v>
      </c>
      <c r="H20" s="51" t="s">
        <v>48</v>
      </c>
      <c r="I20" s="86">
        <f>IF(E13="","",PEARSON(F9:F13,G9:G13))</f>
        <v>0.99870000000000003</v>
      </c>
      <c r="K20" s="128"/>
    </row>
    <row r="21" spans="1:17" s="3" customFormat="1" ht="25.2" customHeight="1" x14ac:dyDescent="0.3">
      <c r="A21" s="52"/>
      <c r="B21" s="53"/>
      <c r="C21" s="54"/>
      <c r="D21" s="54"/>
      <c r="E21" s="55"/>
      <c r="F21" s="55"/>
      <c r="G21" s="55"/>
      <c r="H21" s="53"/>
      <c r="I21" s="87"/>
      <c r="K21" s="128"/>
      <c r="L21" s="121" t="s">
        <v>22</v>
      </c>
      <c r="M21" s="122"/>
      <c r="N21" s="73"/>
      <c r="O21" s="74" t="s">
        <v>23</v>
      </c>
      <c r="P21" s="73"/>
      <c r="Q21" s="94" t="s">
        <v>24</v>
      </c>
    </row>
    <row r="22" spans="1:17" s="3" customFormat="1" ht="25.2" customHeight="1" x14ac:dyDescent="0.3">
      <c r="A22" s="52"/>
      <c r="B22" s="53"/>
      <c r="C22" s="54"/>
      <c r="D22" s="54"/>
      <c r="E22" s="55"/>
      <c r="F22" s="55"/>
      <c r="G22" s="55"/>
      <c r="H22" s="53"/>
      <c r="I22" s="87"/>
      <c r="K22" s="128"/>
      <c r="L22" s="130" t="s">
        <v>25</v>
      </c>
      <c r="M22" s="75" t="s">
        <v>26</v>
      </c>
      <c r="N22" s="76"/>
      <c r="O22" s="75" t="s">
        <v>27</v>
      </c>
      <c r="P22" s="77"/>
      <c r="Q22" s="125" t="str">
        <f>IF(N22="","",(P22-P23)/(P23)*100)</f>
        <v/>
      </c>
    </row>
    <row r="23" spans="1:17" s="3" customFormat="1" ht="25.2" customHeight="1" x14ac:dyDescent="0.3">
      <c r="A23" s="52"/>
      <c r="B23" s="53"/>
      <c r="C23" s="54"/>
      <c r="D23" s="54"/>
      <c r="E23" s="55"/>
      <c r="F23" s="55"/>
      <c r="G23" s="55"/>
      <c r="H23" s="53"/>
      <c r="I23" s="87"/>
      <c r="K23" s="129"/>
      <c r="L23" s="131"/>
      <c r="M23" s="78" t="s">
        <v>28</v>
      </c>
      <c r="N23" s="79" t="str">
        <f>IF(N22="","",(SQRT(N22*(P21/760)*(298/(N21+273)))-E16)/C16)</f>
        <v/>
      </c>
      <c r="O23" s="78" t="s">
        <v>29</v>
      </c>
      <c r="P23" s="79" t="str">
        <f>IF(N22="","",N23*E20+G20)</f>
        <v/>
      </c>
      <c r="Q23" s="126"/>
    </row>
    <row r="24" spans="1:17" s="3" customFormat="1" ht="25.2" customHeight="1" x14ac:dyDescent="0.3">
      <c r="A24" s="52"/>
      <c r="B24" s="53"/>
      <c r="C24" s="54"/>
      <c r="D24" s="54"/>
      <c r="E24" s="55"/>
      <c r="F24" s="53"/>
      <c r="G24" s="53"/>
      <c r="H24" s="53"/>
      <c r="I24" s="87"/>
      <c r="L24" s="6"/>
      <c r="M24" s="7"/>
      <c r="N24" s="7"/>
      <c r="O24" s="6"/>
      <c r="P24" s="6"/>
    </row>
    <row r="25" spans="1:17" s="3" customFormat="1" ht="25.2" customHeight="1" x14ac:dyDescent="0.3">
      <c r="A25" s="52"/>
      <c r="B25" s="53"/>
      <c r="C25" s="54"/>
      <c r="D25" s="56"/>
      <c r="E25" s="56"/>
      <c r="F25" s="53"/>
      <c r="G25" s="53"/>
      <c r="H25" s="53"/>
      <c r="I25" s="87"/>
      <c r="L25" s="6"/>
      <c r="M25" s="7"/>
      <c r="N25" s="7"/>
      <c r="O25" s="6"/>
      <c r="P25" s="6"/>
      <c r="Q25" s="5"/>
    </row>
    <row r="26" spans="1:17" s="3" customFormat="1" ht="25.2" customHeight="1" x14ac:dyDescent="0.3">
      <c r="A26" s="52"/>
      <c r="B26" s="53"/>
      <c r="C26" s="57"/>
      <c r="D26" s="53"/>
      <c r="E26" s="53"/>
      <c r="F26" s="53"/>
      <c r="G26" s="53"/>
      <c r="H26" s="53"/>
      <c r="I26" s="87"/>
      <c r="K26" s="133" t="s">
        <v>49</v>
      </c>
      <c r="L26" s="134"/>
      <c r="M26" s="88">
        <v>1</v>
      </c>
      <c r="N26" s="89" t="s">
        <v>50</v>
      </c>
      <c r="O26" s="88">
        <v>0</v>
      </c>
      <c r="P26" s="89" t="s">
        <v>51</v>
      </c>
      <c r="Q26" s="6"/>
    </row>
    <row r="27" spans="1:17" s="3" customFormat="1" ht="25.2" customHeight="1" x14ac:dyDescent="0.3">
      <c r="A27" s="52"/>
      <c r="B27" s="53"/>
      <c r="C27" s="58"/>
      <c r="D27" s="58"/>
      <c r="E27" s="58"/>
      <c r="F27" s="58"/>
      <c r="G27" s="58"/>
      <c r="H27" s="53"/>
      <c r="I27" s="87" t="s">
        <v>5</v>
      </c>
      <c r="K27" s="90" t="s">
        <v>52</v>
      </c>
      <c r="L27" s="90"/>
      <c r="M27" s="91" t="str">
        <f>IF(M13="","",IF(M26&gt;3,AVERAGE(O13,O18)*(M26*60+O26),"---"))</f>
        <v/>
      </c>
      <c r="N27" s="92" t="s">
        <v>53</v>
      </c>
      <c r="O27" s="6"/>
    </row>
    <row r="28" spans="1:17" s="3" customFormat="1" ht="25.2" customHeight="1" x14ac:dyDescent="0.3">
      <c r="A28" s="52"/>
      <c r="B28" s="53"/>
      <c r="C28" s="58"/>
      <c r="D28" s="58"/>
      <c r="E28" s="58"/>
      <c r="F28" s="58"/>
      <c r="G28" s="58"/>
      <c r="H28" s="53"/>
      <c r="I28" s="87"/>
      <c r="K28" s="90" t="s">
        <v>54</v>
      </c>
      <c r="L28" s="90"/>
      <c r="M28" s="91" t="str">
        <f>IF(M13="","",IF(M26&lt;3,(AVERAGE(O13,O18)*(M26*60+O26))*((273/(273+(N9*0.5+N21*0.5)))*((P9*0.5+P21*0.5)/760)),"---"))</f>
        <v/>
      </c>
      <c r="N28" s="92" t="s">
        <v>55</v>
      </c>
      <c r="O28" s="6"/>
      <c r="P28" s="6"/>
      <c r="Q28" s="6"/>
    </row>
    <row r="29" spans="1:17" s="3" customFormat="1" ht="25.2" customHeight="1" x14ac:dyDescent="0.3">
      <c r="A29" s="52"/>
      <c r="B29" s="53"/>
      <c r="C29" s="58"/>
      <c r="D29" s="58"/>
      <c r="E29" s="58"/>
      <c r="F29" s="58"/>
      <c r="G29" s="58"/>
      <c r="H29" s="53"/>
      <c r="I29" s="87"/>
      <c r="L29" s="6"/>
      <c r="M29" s="7"/>
      <c r="N29" s="7"/>
      <c r="O29" s="6"/>
      <c r="P29" s="6"/>
      <c r="Q29" s="6"/>
    </row>
    <row r="30" spans="1:17" s="3" customFormat="1" ht="25.2" customHeight="1" x14ac:dyDescent="0.3">
      <c r="A30" s="52"/>
      <c r="B30" s="53"/>
      <c r="C30" s="58" t="s">
        <v>5</v>
      </c>
      <c r="D30" s="59" t="s">
        <v>5</v>
      </c>
      <c r="E30" s="59"/>
      <c r="F30" s="59"/>
      <c r="G30" s="53"/>
      <c r="H30" s="53"/>
      <c r="I30" s="87"/>
      <c r="K30" s="5"/>
      <c r="L30" s="6"/>
      <c r="M30" s="7"/>
      <c r="N30" s="7"/>
      <c r="O30" s="6"/>
      <c r="P30" s="6"/>
      <c r="Q30" s="6"/>
    </row>
    <row r="31" spans="1:17" s="5" customFormat="1" ht="25.2" customHeight="1" x14ac:dyDescent="0.3">
      <c r="A31" s="60"/>
      <c r="B31" s="61"/>
      <c r="C31" s="61"/>
      <c r="D31" s="61"/>
      <c r="E31" s="62" t="s">
        <v>5</v>
      </c>
      <c r="F31" s="63" t="s">
        <v>5</v>
      </c>
      <c r="G31" s="61"/>
      <c r="H31" s="61"/>
      <c r="I31" s="93"/>
      <c r="K31" s="6"/>
      <c r="L31" s="6"/>
      <c r="M31" s="7"/>
      <c r="N31" s="7"/>
      <c r="O31" s="6"/>
      <c r="P31" s="6"/>
      <c r="Q31" s="6"/>
    </row>
    <row r="32" spans="1:17" ht="25.2" customHeight="1" x14ac:dyDescent="0.3">
      <c r="A32" s="100" t="s">
        <v>56</v>
      </c>
      <c r="B32" s="101"/>
      <c r="C32" s="102"/>
      <c r="D32" s="106" t="s">
        <v>57</v>
      </c>
      <c r="E32" s="107"/>
      <c r="F32" s="100" t="s">
        <v>58</v>
      </c>
      <c r="G32" s="102"/>
      <c r="H32" s="110" t="s">
        <v>64</v>
      </c>
      <c r="I32" s="111"/>
    </row>
    <row r="33" spans="1:10" ht="25.2" customHeight="1" x14ac:dyDescent="0.3">
      <c r="A33" s="103"/>
      <c r="B33" s="104"/>
      <c r="C33" s="105"/>
      <c r="D33" s="108"/>
      <c r="E33" s="109"/>
      <c r="F33" s="103"/>
      <c r="G33" s="105"/>
      <c r="H33" s="108"/>
      <c r="I33" s="109"/>
    </row>
    <row r="34" spans="1:10" x14ac:dyDescent="0.3">
      <c r="C34" s="9"/>
      <c r="D34" s="9"/>
      <c r="E34" s="9"/>
      <c r="F34" s="9"/>
      <c r="G34" s="9"/>
      <c r="H34" s="9"/>
      <c r="I34" s="64"/>
      <c r="J34" s="65"/>
    </row>
    <row r="35" spans="1:10" x14ac:dyDescent="0.3">
      <c r="A35" s="9" t="s">
        <v>59</v>
      </c>
      <c r="B35" s="9"/>
      <c r="I35" s="65"/>
      <c r="J35" s="65"/>
    </row>
  </sheetData>
  <sheetProtection password="8A83" sheet="1"/>
  <mergeCells count="41">
    <mergeCell ref="A2:I2"/>
    <mergeCell ref="B4:D4"/>
    <mergeCell ref="E4:F4"/>
    <mergeCell ref="G4:I4"/>
    <mergeCell ref="B5:D5"/>
    <mergeCell ref="E5:F5"/>
    <mergeCell ref="G5:I5"/>
    <mergeCell ref="B6:D6"/>
    <mergeCell ref="E6:F6"/>
    <mergeCell ref="G6:I6"/>
    <mergeCell ref="C7:E7"/>
    <mergeCell ref="L9:M9"/>
    <mergeCell ref="D14:E14"/>
    <mergeCell ref="K9:K14"/>
    <mergeCell ref="K26:L26"/>
    <mergeCell ref="A7:A8"/>
    <mergeCell ref="B7:B8"/>
    <mergeCell ref="F7:F8"/>
    <mergeCell ref="G7:G8"/>
    <mergeCell ref="H7:H8"/>
    <mergeCell ref="I7:I8"/>
    <mergeCell ref="O13:O14"/>
    <mergeCell ref="O18:O19"/>
    <mergeCell ref="Q10:Q11"/>
    <mergeCell ref="Q22:Q23"/>
    <mergeCell ref="K18:K23"/>
    <mergeCell ref="L10:L11"/>
    <mergeCell ref="L13:L14"/>
    <mergeCell ref="L18:L19"/>
    <mergeCell ref="L22:L23"/>
    <mergeCell ref="M13:M14"/>
    <mergeCell ref="A32:C33"/>
    <mergeCell ref="D32:E33"/>
    <mergeCell ref="F32:G33"/>
    <mergeCell ref="H32:I33"/>
    <mergeCell ref="N13:N14"/>
    <mergeCell ref="N18:N19"/>
    <mergeCell ref="M18:M19"/>
    <mergeCell ref="G16:H16"/>
    <mergeCell ref="A19:I19"/>
    <mergeCell ref="L21:M21"/>
  </mergeCells>
  <phoneticPr fontId="30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/>
  <headerFooter alignWithMargins="0">
    <oddHeader>&amp;R
LS-47-01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P4</vt:lpstr>
      <vt:lpstr>'P4'!Print_Area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2026-09-06T08:44:28Z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C926ABF02A3D482BB603DDBC33999928_13</vt:lpwstr>
  </property>
  <property fmtid="{D5CDD505-2E9C-101B-9397-08002B2CF9AE}" pid="3" name="KSOProductBuildVer">
    <vt:lpwstr>3076-12.2.0.23131</vt:lpwstr>
  </property>
</Properties>
</file>