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5078\Desktop\高量採集自動收件\TSP_Excel_Batch_Unlock_V3\OUTPUT\"/>
    </mc:Choice>
  </mc:AlternateContent>
  <xr:revisionPtr revIDLastSave="0" documentId="8_{01DD7166-B8E4-4E99-BF18-2A264628ABCB}" xr6:coauthVersionLast="47" xr6:coauthVersionMax="47" xr10:uidLastSave="{00000000-0000-0000-0000-000000000000}"/>
  <bookViews>
    <workbookView xWindow="-118" yWindow="-118" windowWidth="25370" windowHeight="13667"/>
  </bookViews>
  <sheets>
    <sheet name="04" sheetId="102" r:id="rId1"/>
  </sheets>
  <externalReferences>
    <externalReference r:id="rId2"/>
  </externalReferences>
  <definedNames>
    <definedName name="_xlnm.Print_Area" localSheetId="0">'04'!$A$1:$I$35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3" i="102" l="1"/>
  <c r="G13" i="102"/>
  <c r="F13" i="102"/>
  <c r="G12" i="102"/>
  <c r="F12" i="102"/>
  <c r="N11" i="102"/>
  <c r="G11" i="102"/>
  <c r="F11" i="102"/>
  <c r="G10" i="102"/>
  <c r="F10" i="102"/>
  <c r="G9" i="102"/>
  <c r="F9" i="102"/>
  <c r="G20" i="102" s="1"/>
  <c r="M27" i="102"/>
  <c r="P11" i="102"/>
  <c r="Q10" i="102"/>
  <c r="O13" i="102"/>
  <c r="O18" i="102"/>
  <c r="P23" i="102"/>
  <c r="Q22" i="102"/>
  <c r="M28" i="102"/>
  <c r="E20" i="102" l="1"/>
  <c r="I20" i="102"/>
  <c r="H13" i="102" l="1"/>
  <c r="I13" i="102" s="1"/>
  <c r="H10" i="102"/>
  <c r="I10" i="102" s="1"/>
  <c r="H11" i="102"/>
  <c r="I11" i="102" s="1"/>
  <c r="H9" i="102"/>
  <c r="I9" i="102" s="1"/>
  <c r="H12" i="102"/>
  <c r="I12" i="102" s="1"/>
</calcChain>
</file>

<file path=xl/sharedStrings.xml><?xml version="1.0" encoding="utf-8"?>
<sst xmlns="http://schemas.openxmlformats.org/spreadsheetml/2006/main" count="86" uniqueCount="73">
  <si>
    <t xml:space="preserve"> </t>
  </si>
  <si>
    <t>儀器型號</t>
  </si>
  <si>
    <t>校正日期</t>
  </si>
  <si>
    <t>校正地點</t>
  </si>
  <si>
    <t>第一次</t>
  </si>
  <si>
    <t>第二次</t>
  </si>
  <si>
    <t>第三次</t>
  </si>
  <si>
    <t>mmHg</t>
  </si>
  <si>
    <t/>
  </si>
  <si>
    <t>高 量 空 氣 採 樣 器 校 正 紀 錄 表</t>
    <phoneticPr fontId="2" type="noConversion"/>
  </si>
  <si>
    <t>儀器序號</t>
    <phoneticPr fontId="2" type="noConversion"/>
  </si>
  <si>
    <t>流量計編號</t>
    <phoneticPr fontId="2" type="noConversion"/>
  </si>
  <si>
    <t>儀器操作電壓值</t>
    <phoneticPr fontId="2" type="noConversion"/>
  </si>
  <si>
    <t>執行時間</t>
    <phoneticPr fontId="2" type="noConversion"/>
  </si>
  <si>
    <t xml:space="preserve">    流  量  計  讀  值</t>
    <phoneticPr fontId="2" type="noConversion"/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</si>
  <si>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</rPr>
      <t xml:space="preserve">   Y    </t>
    </r>
    <r>
      <rPr>
        <vertAlign val="subscript"/>
        <sz val="12"/>
        <rFont val="新細明體"/>
        <family val="1"/>
        <charset val="136"/>
      </rPr>
      <t/>
    </r>
    <phoneticPr fontId="2" type="noConversion"/>
  </si>
  <si>
    <t>孔口校正器型號/序號 :</t>
    <phoneticPr fontId="4" type="noConversion"/>
  </si>
  <si>
    <t>現場溫度(Ta):</t>
    <phoneticPr fontId="4" type="noConversion"/>
  </si>
  <si>
    <t>℃</t>
    <phoneticPr fontId="4" type="noConversion"/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</si>
  <si>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  <phoneticPr fontId="4" type="noConversion"/>
  </si>
  <si>
    <t xml:space="preserve"> 大氣壓力(Pa):</t>
    <phoneticPr fontId="2" type="noConversion"/>
  </si>
  <si>
    <r>
      <t>Y</t>
    </r>
    <r>
      <rPr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=</t>
    </r>
    <phoneticPr fontId="4" type="noConversion"/>
  </si>
  <si>
    <r>
      <t>X</t>
    </r>
    <r>
      <rPr>
        <b/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 +</t>
    </r>
    <phoneticPr fontId="2" type="noConversion"/>
  </si>
  <si>
    <t>將水柱壓差修正至標準狀態下，代入孔口校正器校正方程式求出以實際流量(Qstd )</t>
    <phoneticPr fontId="2" type="noConversion"/>
  </si>
  <si>
    <t>線性迴歸方程式：</t>
    <phoneticPr fontId="2" type="noConversion"/>
  </si>
  <si>
    <t>R=</t>
    <phoneticPr fontId="2" type="noConversion"/>
  </si>
  <si>
    <t xml:space="preserve"> </t>
    <phoneticPr fontId="2" type="noConversion"/>
  </si>
  <si>
    <t>審核者</t>
    <phoneticPr fontId="2" type="noConversion"/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</si>
  <si>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</rPr>
      <t xml:space="preserve">       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</si>
  <si>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10"/>
        <rFont val="Tahoma"/>
        <family val="2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</rPr>
      <t xml:space="preserve">        Y</t>
    </r>
    <r>
      <rPr>
        <vertAlign val="subscript"/>
        <sz val="12"/>
        <rFont val="Tahoma"/>
        <family val="2"/>
      </rPr>
      <t>cal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</si>
  <si>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</rPr>
      <t xml:space="preserve">  </t>
    </r>
    <r>
      <rPr>
        <sz val="10"/>
        <rFont val="Tahoma"/>
        <family val="2"/>
      </rPr>
      <t>%</t>
    </r>
    <r>
      <rPr>
        <sz val="12"/>
        <rFont val="Tahoma"/>
        <family val="2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</rPr>
      <t xml:space="preserve">±5%)              </t>
    </r>
    <phoneticPr fontId="2" type="noConversion"/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</si>
  <si>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  <phoneticPr fontId="4" type="noConversion"/>
  </si>
  <si>
    <r>
      <t xml:space="preserve">  Y</t>
    </r>
    <r>
      <rPr>
        <vertAlign val="subscript"/>
        <sz val="12"/>
        <rFont val="Tahoma"/>
        <family val="2"/>
      </rPr>
      <t xml:space="preserve">cal  </t>
    </r>
    <r>
      <rPr>
        <sz val="12"/>
        <rFont val="Tahoma"/>
        <family val="2"/>
      </rPr>
      <t>=</t>
    </r>
    <phoneticPr fontId="2" type="noConversion"/>
  </si>
  <si>
    <r>
      <t xml:space="preserve">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+</t>
    </r>
    <phoneticPr fontId="2" type="noConversion"/>
  </si>
  <si>
    <t>分</t>
    <phoneticPr fontId="4" type="noConversion"/>
  </si>
  <si>
    <t>吸引空氣量（V）</t>
    <phoneticPr fontId="2" type="noConversion"/>
  </si>
  <si>
    <t>水柱壓差(ΔH)</t>
    <phoneticPr fontId="4" type="noConversion"/>
  </si>
  <si>
    <t>大氣壓力(mmHg)</t>
    <phoneticPr fontId="4" type="noConversion"/>
  </si>
  <si>
    <t>大氣溫度(℃)</t>
    <phoneticPr fontId="4" type="noConversion"/>
  </si>
  <si>
    <t>查核流率</t>
    <phoneticPr fontId="2" type="noConversion"/>
  </si>
  <si>
    <t xml:space="preserve"> 實際流量Qstd(m3/min)</t>
    <phoneticPr fontId="4" type="noConversion"/>
  </si>
  <si>
    <t xml:space="preserve"> 迴歸之流量Ycal(m3/min)</t>
    <phoneticPr fontId="4" type="noConversion"/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</si>
  <si>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</rPr>
      <t xml:space="preserve">±7%)              </t>
    </r>
    <phoneticPr fontId="2" type="noConversion"/>
  </si>
  <si>
    <t>浮子流率計讀值(Y)</t>
    <phoneticPr fontId="4" type="noConversion"/>
  </si>
  <si>
    <t>流率計讀值</t>
    <phoneticPr fontId="2" type="noConversion"/>
  </si>
  <si>
    <r>
      <t>校正流率                              （Q</t>
    </r>
    <r>
      <rPr>
        <sz val="14"/>
        <rFont val="新細明體"/>
        <family val="1"/>
        <charset val="136"/>
      </rPr>
      <t>）m3/min</t>
    </r>
    <phoneticPr fontId="4" type="noConversion"/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</si>
  <si>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</rPr>
      <t xml:space="preserve"> inchH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</rPr>
      <t>mmH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>O</t>
    </r>
    <phoneticPr fontId="2" type="noConversion"/>
  </si>
  <si>
    <t>陳美芳</t>
    <phoneticPr fontId="4" type="noConversion"/>
  </si>
  <si>
    <t>填表人</t>
    <phoneticPr fontId="2" type="noConversion"/>
  </si>
  <si>
    <t>TISCH</t>
    <phoneticPr fontId="4" type="noConversion"/>
  </si>
  <si>
    <t>110V</t>
    <phoneticPr fontId="4" type="noConversion"/>
  </si>
  <si>
    <t>版本：16  發行日期：113.08.01</t>
    <phoneticPr fontId="2" type="noConversion"/>
  </si>
  <si>
    <t xml:space="preserve"> </t>
    <phoneticPr fontId="4" type="noConversion"/>
  </si>
  <si>
    <t xml:space="preserve">                                                                                                                              </t>
    <phoneticPr fontId="4" type="noConversion"/>
  </si>
  <si>
    <t>粒狀物流率驗算紀錄</t>
    <phoneticPr fontId="4" type="noConversion"/>
  </si>
  <si>
    <t>採                             樣                  前</t>
    <phoneticPr fontId="4" type="noConversion"/>
  </si>
  <si>
    <t>採                             樣                  後</t>
    <phoneticPr fontId="4" type="noConversion"/>
  </si>
  <si>
    <t>採樣時間</t>
    <phoneticPr fontId="4" type="noConversion"/>
  </si>
  <si>
    <t>吸引空氣量（Vn）</t>
    <phoneticPr fontId="2" type="noConversion"/>
  </si>
  <si>
    <t>小時</t>
    <phoneticPr fontId="4" type="noConversion"/>
  </si>
  <si>
    <r>
      <t>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</si>
  <si>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r>
      <t>Nm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</si>
  <si>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r>
      <t>GRASEBY/0062 (C</t>
    </r>
    <r>
      <rPr>
        <sz val="12"/>
        <rFont val="新細明體"/>
        <family val="1"/>
        <charset val="136"/>
      </rPr>
      <t>台</t>
    </r>
    <r>
      <rPr>
        <sz val="12"/>
        <rFont val="Tahoma"/>
        <family val="2"/>
      </rPr>
      <t>)</t>
    </r>
    <phoneticPr fontId="4" type="noConversion"/>
  </si>
  <si>
    <t>P6</t>
    <phoneticPr fontId="4" type="noConversion"/>
  </si>
  <si>
    <t>FU6</t>
    <phoneticPr fontId="4" type="noConversion"/>
  </si>
  <si>
    <t>14:35</t>
    <phoneticPr fontId="4" type="noConversion"/>
  </si>
  <si>
    <t>115.09.18</t>
    <phoneticPr fontId="4" type="noConversion"/>
  </si>
  <si>
    <t>14:46</t>
    <phoneticPr fontId="4" type="noConversion"/>
  </si>
  <si>
    <t>14:58</t>
    <phoneticPr fontId="4" type="noConversion"/>
  </si>
  <si>
    <t>15:10</t>
    <phoneticPr fontId="4" type="noConversion"/>
  </si>
  <si>
    <t>15:23</t>
    <phoneticPr fontId="4" type="noConversion"/>
  </si>
  <si>
    <t>陳澤瑋</t>
    <phoneticPr fontId="4" type="noConversion"/>
  </si>
  <si>
    <t>南邊周界處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</si>
</sst>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0_)"/>
    <numFmt numFmtId="177" formatCode="0.0000_)"/>
    <numFmt numFmtId="178" formatCode="0.000_)"/>
    <numFmt numFmtId="179" formatCode="0.0_)"/>
    <numFmt numFmtId="180" formatCode="0_)"/>
    <numFmt numFmtId="181" formatCode="0.0"/>
    <numFmt numFmtId="182" formatCode="0.0000_ "/>
    <numFmt numFmtId="183" formatCode="0.0_ "/>
    <numFmt numFmtId="184" formatCode="0.00_ "/>
    <numFmt numFmtId="185" formatCode="0.000000_ "/>
    <numFmt numFmtId="186" formatCode="0_ "/>
    <numFmt numFmtId="187" formatCode="0.00_);[Red]\(0.00\)"/>
    <numFmt numFmtId="200" formatCode="0.0&quot;  inch H2O&quot;"/>
  </numFmts>
  <fonts count="32" x14ac:knownFonts="1">
    <font>
      <sz val="12"/>
      <name val="Times New Roman"/>
      <family val="1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8"/>
      <name val="新細明體"/>
      <family val="1"/>
      <charset val="136"/>
    </font>
    <font>
      <sz val="16"/>
      <name val="新細明體"/>
      <family val="1"/>
      <charset val="136"/>
    </font>
    <font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ahoma"/>
      <family val="2"/>
    </font>
    <font>
      <vertAlign val="subscript"/>
      <sz val="12"/>
      <name val="新細明體"/>
      <family val="1"/>
      <charset val="136"/>
    </font>
    <font>
      <sz val="12"/>
      <name val="細明體"/>
      <family val="3"/>
      <charset val="136"/>
    </font>
    <font>
      <vertAlign val="subscript"/>
      <sz val="12"/>
      <name val="Tahoma"/>
      <family val="2"/>
    </font>
    <font>
      <b/>
      <vertAlign val="subscript"/>
      <sz val="12"/>
      <name val="Tahoma"/>
      <family val="2"/>
    </font>
    <font>
      <sz val="10"/>
      <name val="Tahoma"/>
      <family val="2"/>
    </font>
    <font>
      <vertAlign val="superscript"/>
      <sz val="10"/>
      <name val="Tahoma"/>
      <family val="2"/>
    </font>
    <font>
      <sz val="10"/>
      <name val="細明體"/>
      <family val="3"/>
      <charset val="136"/>
    </font>
    <font>
      <vertAlign val="subscript"/>
      <sz val="10"/>
      <name val="Tahoma"/>
      <family val="2"/>
    </font>
    <font>
      <sz val="8"/>
      <name val="細明體"/>
      <family val="3"/>
      <charset val="136"/>
    </font>
    <font>
      <sz val="8"/>
      <name val="Tahoma"/>
      <family val="2"/>
    </font>
    <font>
      <sz val="12"/>
      <name val="Symbol"/>
      <family val="1"/>
      <charset val="2"/>
    </font>
    <font>
      <sz val="14"/>
      <name val="Tahoma"/>
      <family val="2"/>
    </font>
    <font>
      <sz val="16"/>
      <name val="Tahoma"/>
      <family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sz val="18"/>
      <name val="Tahoma"/>
      <family val="2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vertAlign val="superscript"/>
      <sz val="16"/>
      <name val="新細明體"/>
      <family val="1"/>
      <charset val="136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80" fontId="0" fillId="0" borderId="0"/>
    <xf numFmtId="178" fontId="1" fillId="0" borderId="0"/>
    <xf numFmtId="0" fontId="3" fillId="0" borderId="0"/>
  </cellStyleXfs>
  <cellXfs count="165">
    <xf numFmtId="180" fontId="0" fillId="0" borderId="0" xfId="0"/>
    <xf numFmtId="180" fontId="3" fillId="0" borderId="0" xfId="0" applyFont="1" applyProtection="1">
      <protection locked="0"/>
    </xf>
    <xf numFmtId="0" fontId="3" fillId="0" borderId="0" xfId="2" applyFont="1" applyFill="1" applyProtection="1">
      <protection locked="0"/>
    </xf>
    <xf numFmtId="0" fontId="3" fillId="0" borderId="0" xfId="2" applyFont="1" applyProtection="1">
      <protection locked="0"/>
    </xf>
    <xf numFmtId="176" fontId="3" fillId="0" borderId="0" xfId="0" quotePrefix="1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vertical="center"/>
      <protection locked="0"/>
    </xf>
    <xf numFmtId="180" fontId="3" fillId="0" borderId="0" xfId="0" applyFont="1" applyBorder="1" applyProtection="1">
      <protection locked="0"/>
    </xf>
    <xf numFmtId="180" fontId="3" fillId="0" borderId="1" xfId="0" applyFont="1" applyBorder="1" applyProtection="1">
      <protection locked="0"/>
    </xf>
    <xf numFmtId="180" fontId="3" fillId="0" borderId="2" xfId="0" applyFont="1" applyBorder="1" applyAlignment="1" applyProtection="1">
      <alignment horizontal="center" vertical="center"/>
      <protection locked="0"/>
    </xf>
    <xf numFmtId="180" fontId="3" fillId="0" borderId="3" xfId="0" applyFont="1" applyBorder="1" applyAlignment="1" applyProtection="1">
      <alignment horizontal="center" vertical="center"/>
      <protection locked="0"/>
    </xf>
    <xf numFmtId="178" fontId="3" fillId="0" borderId="0" xfId="1" applyFont="1" applyProtection="1">
      <protection locked="0"/>
    </xf>
    <xf numFmtId="180" fontId="3" fillId="0" borderId="4" xfId="0" applyFont="1" applyBorder="1" applyAlignment="1" applyProtection="1">
      <alignment vertical="center"/>
    </xf>
    <xf numFmtId="180" fontId="3" fillId="0" borderId="0" xfId="0" applyFont="1" applyBorder="1" applyAlignment="1" applyProtection="1">
      <alignment vertical="center"/>
    </xf>
    <xf numFmtId="176" fontId="9" fillId="0" borderId="5" xfId="1" applyNumberFormat="1" applyFont="1" applyFill="1" applyBorder="1" applyAlignment="1" applyProtection="1">
      <alignment horizontal="center" vertical="center"/>
    </xf>
    <xf numFmtId="179" fontId="9" fillId="0" borderId="6" xfId="0" applyNumberFormat="1" applyFont="1" applyFill="1" applyBorder="1" applyAlignment="1" applyProtection="1">
      <alignment horizontal="center" vertical="center"/>
    </xf>
    <xf numFmtId="178" fontId="8" fillId="0" borderId="0" xfId="1" applyFont="1" applyProtection="1">
      <protection locked="0"/>
    </xf>
    <xf numFmtId="178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6" fillId="0" borderId="0" xfId="2" applyFont="1" applyBorder="1" applyProtection="1">
      <protection locked="0"/>
    </xf>
    <xf numFmtId="0" fontId="6" fillId="0" borderId="0" xfId="2" applyFont="1" applyProtection="1">
      <protection locked="0"/>
    </xf>
    <xf numFmtId="178" fontId="7" fillId="0" borderId="0" xfId="1" quotePrefix="1" applyFont="1" applyAlignment="1" applyProtection="1">
      <alignment horizontal="left"/>
      <protection locked="0"/>
    </xf>
    <xf numFmtId="178" fontId="3" fillId="0" borderId="7" xfId="1" applyFont="1" applyBorder="1" applyProtection="1">
      <protection locked="0"/>
    </xf>
    <xf numFmtId="183" fontId="3" fillId="0" borderId="0" xfId="2" applyNumberFormat="1" applyFont="1" applyProtection="1">
      <protection locked="0"/>
    </xf>
    <xf numFmtId="0" fontId="9" fillId="0" borderId="0" xfId="2" applyFont="1" applyBorder="1" applyAlignment="1" applyProtection="1">
      <alignment vertical="top"/>
      <protection locked="0"/>
    </xf>
    <xf numFmtId="180" fontId="3" fillId="0" borderId="0" xfId="0" applyFont="1" applyAlignment="1" applyProtection="1">
      <alignment vertical="top"/>
      <protection locked="0"/>
    </xf>
    <xf numFmtId="180" fontId="3" fillId="0" borderId="4" xfId="0" applyFont="1" applyBorder="1" applyProtection="1">
      <protection locked="0"/>
    </xf>
    <xf numFmtId="176" fontId="3" fillId="0" borderId="0" xfId="0" applyNumberFormat="1" applyFont="1" applyBorder="1" applyAlignment="1" applyProtection="1">
      <alignment horizontal="left" vertical="center"/>
      <protection locked="0"/>
    </xf>
    <xf numFmtId="177" fontId="3" fillId="0" borderId="0" xfId="0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horizontal="left" vertical="center"/>
      <protection locked="0"/>
    </xf>
    <xf numFmtId="180" fontId="3" fillId="0" borderId="0" xfId="0" quotePrefix="1" applyFont="1" applyBorder="1" applyAlignment="1" applyProtection="1">
      <alignment horizontal="center"/>
      <protection locked="0"/>
    </xf>
    <xf numFmtId="180" fontId="3" fillId="0" borderId="0" xfId="0" quotePrefix="1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right"/>
      <protection locked="0"/>
    </xf>
    <xf numFmtId="180" fontId="3" fillId="0" borderId="7" xfId="0" applyFont="1" applyBorder="1" applyAlignment="1" applyProtection="1">
      <alignment horizontal="center" vertical="center"/>
      <protection locked="0"/>
    </xf>
    <xf numFmtId="180" fontId="6" fillId="0" borderId="7" xfId="0" applyFont="1" applyBorder="1" applyAlignment="1" applyProtection="1">
      <alignment horizontal="center" vertical="center"/>
      <protection locked="0"/>
    </xf>
    <xf numFmtId="180" fontId="5" fillId="0" borderId="7" xfId="0" applyFont="1" applyBorder="1" applyAlignment="1" applyProtection="1">
      <alignment horizontal="center" vertical="center"/>
      <protection locked="0"/>
    </xf>
    <xf numFmtId="180" fontId="3" fillId="0" borderId="7" xfId="0" quotePrefix="1" applyFont="1" applyBorder="1" applyAlignment="1" applyProtection="1">
      <alignment horizontal="center" vertical="center"/>
      <protection locked="0"/>
    </xf>
    <xf numFmtId="180" fontId="3" fillId="0" borderId="0" xfId="0" applyFont="1" applyAlignment="1" applyProtection="1">
      <alignment horizontal="center" vertical="center"/>
      <protection locked="0"/>
    </xf>
    <xf numFmtId="187" fontId="9" fillId="0" borderId="5" xfId="1" applyNumberFormat="1" applyFont="1" applyFill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right" vertical="center"/>
    </xf>
    <xf numFmtId="177" fontId="9" fillId="0" borderId="0" xfId="0" applyNumberFormat="1" applyFont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left" vertical="center"/>
    </xf>
    <xf numFmtId="180" fontId="9" fillId="0" borderId="0" xfId="0" applyFont="1" applyBorder="1" applyAlignment="1" applyProtection="1">
      <alignment horizontal="right" vertical="center"/>
    </xf>
    <xf numFmtId="182" fontId="9" fillId="0" borderId="1" xfId="0" applyNumberFormat="1" applyFont="1" applyBorder="1" applyAlignment="1" applyProtection="1">
      <alignment horizontal="left" vertical="center"/>
    </xf>
    <xf numFmtId="0" fontId="3" fillId="0" borderId="0" xfId="2" applyFont="1" applyAlignment="1" applyProtection="1">
      <alignment horizontal="center"/>
      <protection locked="0"/>
    </xf>
    <xf numFmtId="0" fontId="6" fillId="0" borderId="0" xfId="2" applyFont="1" applyAlignment="1" applyProtection="1">
      <alignment horizontal="center"/>
      <protection locked="0"/>
    </xf>
    <xf numFmtId="0" fontId="3" fillId="0" borderId="0" xfId="2" applyFont="1" applyFill="1" applyAlignment="1" applyProtection="1">
      <alignment horizontal="center"/>
      <protection locked="0"/>
    </xf>
    <xf numFmtId="181" fontId="9" fillId="3" borderId="6" xfId="1" quotePrefix="1" applyNumberFormat="1" applyFont="1" applyFill="1" applyBorder="1" applyAlignment="1" applyProtection="1">
      <alignment horizontal="center" vertical="center"/>
      <protection locked="0"/>
    </xf>
    <xf numFmtId="181" fontId="9" fillId="3" borderId="6" xfId="1" applyNumberFormat="1" applyFont="1" applyFill="1" applyBorder="1" applyAlignment="1" applyProtection="1">
      <alignment horizontal="center" vertical="center"/>
      <protection locked="0"/>
    </xf>
    <xf numFmtId="187" fontId="9" fillId="3" borderId="6" xfId="1" applyNumberFormat="1" applyFont="1" applyFill="1" applyBorder="1" applyAlignment="1" applyProtection="1">
      <alignment horizontal="center" vertical="center"/>
      <protection locked="0"/>
    </xf>
    <xf numFmtId="183" fontId="9" fillId="3" borderId="0" xfId="0" applyNumberFormat="1" applyFont="1" applyFill="1" applyAlignment="1" applyProtection="1">
      <alignment horizontal="center" vertical="center"/>
      <protection locked="0"/>
    </xf>
    <xf numFmtId="179" fontId="9" fillId="3" borderId="0" xfId="0" applyNumberFormat="1" applyFont="1" applyFill="1" applyAlignment="1" applyProtection="1">
      <alignment horizontal="center" vertical="center"/>
      <protection locked="0"/>
    </xf>
    <xf numFmtId="0" fontId="9" fillId="3" borderId="0" xfId="2" applyFont="1" applyFill="1" applyAlignment="1" applyProtection="1">
      <alignment vertical="top"/>
      <protection locked="0"/>
    </xf>
    <xf numFmtId="0" fontId="9" fillId="3" borderId="0" xfId="2" applyFont="1" applyFill="1" applyBorder="1" applyAlignment="1" applyProtection="1">
      <alignment horizontal="left" vertical="top"/>
      <protection locked="0"/>
    </xf>
    <xf numFmtId="176" fontId="25" fillId="0" borderId="6" xfId="1" applyNumberFormat="1" applyFont="1" applyFill="1" applyBorder="1" applyAlignment="1" applyProtection="1">
      <alignment horizontal="center" vertical="center"/>
    </xf>
    <xf numFmtId="180" fontId="21" fillId="0" borderId="6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0" fontId="26" fillId="0" borderId="0" xfId="2" applyFont="1" applyFill="1" applyAlignment="1" applyProtection="1">
      <alignment horizontal="center" vertical="center"/>
      <protection locked="0"/>
    </xf>
    <xf numFmtId="183" fontId="5" fillId="3" borderId="6" xfId="0" applyNumberFormat="1" applyFont="1" applyFill="1" applyBorder="1" applyAlignment="1" applyProtection="1">
      <alignment horizontal="center" vertical="center"/>
      <protection locked="0"/>
    </xf>
    <xf numFmtId="183" fontId="3" fillId="0" borderId="0" xfId="2" applyNumberFormat="1" applyFont="1" applyAlignment="1" applyProtection="1">
      <alignment horizontal="center" vertical="center"/>
      <protection locked="0"/>
    </xf>
    <xf numFmtId="178" fontId="3" fillId="0" borderId="6" xfId="1" quotePrefix="1" applyFont="1" applyBorder="1" applyAlignment="1" applyProtection="1">
      <alignment horizontal="center" vertical="center"/>
    </xf>
    <xf numFmtId="178" fontId="3" fillId="0" borderId="6" xfId="1" applyFont="1" applyFill="1" applyBorder="1" applyAlignment="1" applyProtection="1">
      <alignment horizontal="center" vertical="center"/>
    </xf>
    <xf numFmtId="178" fontId="3" fillId="0" borderId="6" xfId="1" applyFont="1" applyBorder="1" applyAlignment="1" applyProtection="1">
      <alignment horizontal="center" vertical="center"/>
    </xf>
    <xf numFmtId="176" fontId="3" fillId="0" borderId="8" xfId="1" applyNumberFormat="1" applyFont="1" applyBorder="1" applyAlignment="1" applyProtection="1">
      <alignment horizontal="left" vertical="center"/>
    </xf>
    <xf numFmtId="176" fontId="3" fillId="0" borderId="9" xfId="1" applyNumberFormat="1" applyFont="1" applyBorder="1" applyAlignment="1" applyProtection="1">
      <alignment horizontal="left" vertical="center"/>
    </xf>
    <xf numFmtId="180" fontId="3" fillId="0" borderId="4" xfId="0" applyFont="1" applyBorder="1" applyAlignment="1" applyProtection="1">
      <alignment vertical="top"/>
    </xf>
    <xf numFmtId="180" fontId="3" fillId="0" borderId="0" xfId="0" applyFont="1" applyBorder="1" applyAlignment="1" applyProtection="1">
      <alignment vertical="top"/>
    </xf>
    <xf numFmtId="176" fontId="3" fillId="0" borderId="9" xfId="1" applyNumberFormat="1" applyFont="1" applyBorder="1" applyAlignment="1" applyProtection="1">
      <alignment horizontal="right" vertical="center"/>
    </xf>
    <xf numFmtId="180" fontId="3" fillId="0" borderId="0" xfId="0" applyFont="1" applyBorder="1" applyAlignment="1" applyProtection="1">
      <alignment horizontal="right" vertical="center"/>
    </xf>
    <xf numFmtId="176" fontId="3" fillId="0" borderId="9" xfId="1" applyNumberFormat="1" applyFont="1" applyBorder="1" applyAlignment="1" applyProtection="1">
      <alignment vertical="center"/>
    </xf>
    <xf numFmtId="176" fontId="11" fillId="0" borderId="10" xfId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horizontal="left" vertical="center"/>
    </xf>
    <xf numFmtId="178" fontId="9" fillId="0" borderId="4" xfId="1" applyFont="1" applyBorder="1" applyAlignment="1" applyProtection="1">
      <alignment horizontal="center" vertical="top"/>
    </xf>
    <xf numFmtId="178" fontId="9" fillId="0" borderId="0" xfId="1" quotePrefix="1" applyFont="1" applyBorder="1" applyAlignment="1" applyProtection="1">
      <alignment horizontal="center" vertical="top"/>
    </xf>
    <xf numFmtId="178" fontId="3" fillId="0" borderId="4" xfId="1" applyFont="1" applyBorder="1" applyAlignment="1" applyProtection="1">
      <alignment horizontal="left" vertical="center"/>
    </xf>
    <xf numFmtId="178" fontId="3" fillId="0" borderId="0" xfId="1" applyFont="1" applyBorder="1" applyAlignment="1" applyProtection="1">
      <alignment horizontal="left" vertical="center"/>
    </xf>
    <xf numFmtId="0" fontId="9" fillId="0" borderId="0" xfId="2" applyFont="1" applyBorder="1" applyProtection="1"/>
    <xf numFmtId="178" fontId="9" fillId="0" borderId="0" xfId="1" quotePrefix="1" applyFont="1" applyBorder="1" applyAlignment="1" applyProtection="1">
      <alignment horizontal="center" vertical="center"/>
    </xf>
    <xf numFmtId="185" fontId="9" fillId="0" borderId="0" xfId="1" quotePrefix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vertical="center"/>
    </xf>
    <xf numFmtId="178" fontId="3" fillId="0" borderId="2" xfId="1" applyFont="1" applyBorder="1" applyAlignment="1" applyProtection="1">
      <alignment horizontal="left" vertical="center"/>
    </xf>
    <xf numFmtId="178" fontId="3" fillId="0" borderId="7" xfId="1" applyFont="1" applyBorder="1" applyAlignment="1" applyProtection="1">
      <alignment horizontal="left" vertical="center"/>
    </xf>
    <xf numFmtId="0" fontId="9" fillId="0" borderId="7" xfId="2" applyFont="1" applyBorder="1" applyProtection="1"/>
    <xf numFmtId="178" fontId="9" fillId="0" borderId="7" xfId="1" quotePrefix="1" applyFont="1" applyBorder="1" applyAlignment="1" applyProtection="1">
      <alignment horizontal="center" vertical="center"/>
    </xf>
    <xf numFmtId="185" fontId="9" fillId="0" borderId="7" xfId="1" quotePrefix="1" applyNumberFormat="1" applyFont="1" applyBorder="1" applyAlignment="1" applyProtection="1">
      <alignment horizontal="left" vertical="center"/>
    </xf>
    <xf numFmtId="180" fontId="9" fillId="0" borderId="3" xfId="0" applyFont="1" applyBorder="1" applyAlignment="1" applyProtection="1">
      <alignment vertical="center"/>
    </xf>
    <xf numFmtId="180" fontId="3" fillId="0" borderId="0" xfId="0" applyFont="1" applyProtection="1"/>
    <xf numFmtId="176" fontId="9" fillId="0" borderId="0" xfId="0" applyNumberFormat="1" applyFont="1" applyBorder="1" applyAlignment="1" applyProtection="1">
      <alignment horizontal="right" vertical="center"/>
    </xf>
    <xf numFmtId="180" fontId="7" fillId="0" borderId="6" xfId="0" applyFont="1" applyBorder="1" applyAlignment="1" applyProtection="1">
      <alignment horizontal="center" vertical="center" wrapText="1"/>
    </xf>
    <xf numFmtId="180" fontId="3" fillId="0" borderId="6" xfId="0" applyFont="1" applyBorder="1" applyAlignment="1" applyProtection="1">
      <alignment horizontal="center" vertical="center"/>
    </xf>
    <xf numFmtId="0" fontId="3" fillId="0" borderId="6" xfId="2" applyFont="1" applyBorder="1" applyAlignment="1" applyProtection="1">
      <alignment horizontal="center" vertical="center"/>
    </xf>
    <xf numFmtId="184" fontId="5" fillId="3" borderId="6" xfId="0" applyNumberFormat="1" applyFont="1" applyFill="1" applyBorder="1" applyAlignment="1" applyProtection="1">
      <alignment horizontal="center" vertical="center"/>
      <protection locked="0"/>
    </xf>
    <xf numFmtId="200" fontId="5" fillId="3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</xf>
    <xf numFmtId="180" fontId="6" fillId="0" borderId="6" xfId="0" applyFont="1" applyBorder="1" applyAlignment="1" applyProtection="1">
      <alignment horizontal="centerContinuous" vertical="center"/>
    </xf>
    <xf numFmtId="0" fontId="6" fillId="0" borderId="6" xfId="0" applyNumberFormat="1" applyFont="1" applyBorder="1" applyAlignment="1" applyProtection="1">
      <alignment horizontal="center" vertical="center"/>
    </xf>
    <xf numFmtId="176" fontId="3" fillId="0" borderId="9" xfId="1" applyNumberFormat="1" applyFont="1" applyBorder="1" applyAlignment="1" applyProtection="1">
      <alignment horizontal="centerContinuous" vertical="center"/>
      <protection locked="0"/>
    </xf>
    <xf numFmtId="178" fontId="3" fillId="0" borderId="0" xfId="1" applyFont="1" applyBorder="1" applyAlignment="1" applyProtection="1">
      <alignment vertical="center"/>
      <protection locked="0"/>
    </xf>
    <xf numFmtId="178" fontId="9" fillId="0" borderId="0" xfId="1" applyFont="1" applyBorder="1" applyAlignment="1" applyProtection="1">
      <alignment horizontal="center" vertical="top"/>
      <protection locked="0"/>
    </xf>
    <xf numFmtId="180" fontId="9" fillId="0" borderId="1" xfId="0" applyFont="1" applyBorder="1" applyAlignment="1" applyProtection="1">
      <alignment vertical="top"/>
      <protection locked="0"/>
    </xf>
    <xf numFmtId="181" fontId="5" fillId="0" borderId="6" xfId="2" applyNumberFormat="1" applyFont="1" applyBorder="1" applyAlignment="1" applyProtection="1">
      <alignment horizontal="center" vertical="center"/>
    </xf>
    <xf numFmtId="186" fontId="5" fillId="3" borderId="6" xfId="0" applyNumberFormat="1" applyFont="1" applyFill="1" applyBorder="1" applyAlignment="1" applyProtection="1">
      <alignment horizontal="center" vertical="center"/>
      <protection locked="0"/>
    </xf>
    <xf numFmtId="178" fontId="6" fillId="0" borderId="0" xfId="1" quotePrefix="1" applyFont="1" applyBorder="1" applyAlignment="1" applyProtection="1">
      <alignment horizontal="center"/>
    </xf>
    <xf numFmtId="178" fontId="9" fillId="3" borderId="5" xfId="1" applyFont="1" applyFill="1" applyBorder="1" applyAlignment="1" applyProtection="1">
      <alignment horizontal="center" vertical="center"/>
      <protection locked="0"/>
    </xf>
    <xf numFmtId="178" fontId="9" fillId="3" borderId="15" xfId="1" applyFont="1" applyFill="1" applyBorder="1" applyAlignment="1" applyProtection="1">
      <alignment horizontal="center" vertical="center"/>
      <protection locked="0"/>
    </xf>
    <xf numFmtId="178" fontId="9" fillId="3" borderId="11" xfId="1" applyFont="1" applyFill="1" applyBorder="1" applyAlignment="1" applyProtection="1">
      <alignment horizontal="center" vertical="center"/>
      <protection locked="0"/>
    </xf>
    <xf numFmtId="178" fontId="3" fillId="0" borderId="5" xfId="1" quotePrefix="1" applyFont="1" applyBorder="1" applyAlignment="1" applyProtection="1">
      <alignment horizontal="center" vertical="center"/>
    </xf>
    <xf numFmtId="178" fontId="3" fillId="0" borderId="11" xfId="1" quotePrefix="1" applyFont="1" applyBorder="1" applyAlignment="1" applyProtection="1">
      <alignment horizontal="center" vertical="center"/>
    </xf>
    <xf numFmtId="178" fontId="3" fillId="3" borderId="5" xfId="1" applyFont="1" applyFill="1" applyBorder="1" applyAlignment="1" applyProtection="1">
      <alignment horizontal="center"/>
      <protection locked="0"/>
    </xf>
    <xf numFmtId="178" fontId="3" fillId="3" borderId="15" xfId="1" applyFont="1" applyFill="1" applyBorder="1" applyAlignment="1" applyProtection="1">
      <alignment horizontal="center"/>
      <protection locked="0"/>
    </xf>
    <xf numFmtId="178" fontId="3" fillId="3" borderId="11" xfId="1" applyFont="1" applyFill="1" applyBorder="1" applyAlignment="1" applyProtection="1">
      <alignment horizontal="center"/>
      <protection locked="0"/>
    </xf>
    <xf numFmtId="57" fontId="9" fillId="3" borderId="5" xfId="1" applyNumberFormat="1" applyFont="1" applyFill="1" applyBorder="1" applyAlignment="1" applyProtection="1">
      <alignment horizontal="center" vertical="center"/>
      <protection locked="0"/>
    </xf>
    <xf numFmtId="57" fontId="9" fillId="3" borderId="15" xfId="1" applyNumberFormat="1" applyFont="1" applyFill="1" applyBorder="1" applyAlignment="1" applyProtection="1">
      <alignment horizontal="center" vertical="center"/>
      <protection locked="0"/>
    </xf>
    <xf numFmtId="57" fontId="9" fillId="3" borderId="11" xfId="1" applyNumberFormat="1" applyFont="1" applyFill="1" applyBorder="1" applyAlignment="1" applyProtection="1">
      <alignment horizontal="center" vertical="center"/>
      <protection locked="0"/>
    </xf>
    <xf numFmtId="178" fontId="3" fillId="0" borderId="5" xfId="1" applyFont="1" applyFill="1" applyBorder="1" applyAlignment="1" applyProtection="1">
      <alignment horizontal="center" vertical="center"/>
    </xf>
    <xf numFmtId="178" fontId="3" fillId="0" borderId="11" xfId="1" applyFont="1" applyFill="1" applyBorder="1" applyAlignment="1" applyProtection="1">
      <alignment horizontal="center" vertical="center"/>
    </xf>
    <xf numFmtId="178" fontId="3" fillId="3" borderId="5" xfId="1" applyFont="1" applyFill="1" applyBorder="1" applyAlignment="1" applyProtection="1">
      <alignment horizontal="center" vertical="center"/>
      <protection locked="0"/>
    </xf>
    <xf numFmtId="178" fontId="3" fillId="3" borderId="15" xfId="1" applyFont="1" applyFill="1" applyBorder="1" applyAlignment="1" applyProtection="1">
      <alignment horizontal="center" vertical="center"/>
      <protection locked="0"/>
    </xf>
    <xf numFmtId="178" fontId="3" fillId="3" borderId="11" xfId="1" applyFont="1" applyFill="1" applyBorder="1" applyAlignment="1" applyProtection="1">
      <alignment horizontal="center" vertical="center"/>
      <protection locked="0"/>
    </xf>
    <xf numFmtId="178" fontId="16" fillId="0" borderId="12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/>
    </xf>
    <xf numFmtId="178" fontId="14" fillId="0" borderId="12" xfId="1" applyFont="1" applyBorder="1" applyAlignment="1" applyProtection="1">
      <alignment horizontal="center" vertical="center" wrapText="1"/>
      <protection locked="0"/>
    </xf>
    <xf numFmtId="180" fontId="1" fillId="0" borderId="14" xfId="0" applyFont="1" applyBorder="1" applyAlignment="1" applyProtection="1">
      <alignment horizontal="center" vertical="center"/>
      <protection locked="0"/>
    </xf>
    <xf numFmtId="178" fontId="3" fillId="0" borderId="5" xfId="1" quotePrefix="1" applyFont="1" applyFill="1" applyBorder="1" applyAlignment="1" applyProtection="1">
      <alignment horizontal="center" vertical="center"/>
    </xf>
    <xf numFmtId="178" fontId="3" fillId="0" borderId="15" xfId="1" quotePrefix="1" applyFont="1" applyFill="1" applyBorder="1" applyAlignment="1" applyProtection="1">
      <alignment horizontal="center" vertical="center"/>
    </xf>
    <xf numFmtId="178" fontId="9" fillId="0" borderId="12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 wrapText="1"/>
    </xf>
    <xf numFmtId="180" fontId="9" fillId="0" borderId="12" xfId="0" applyFont="1" applyBorder="1" applyAlignment="1" applyProtection="1">
      <alignment horizontal="center" vertical="center" wrapText="1"/>
    </xf>
    <xf numFmtId="180" fontId="7" fillId="0" borderId="11" xfId="0" applyFont="1" applyBorder="1" applyAlignment="1" applyProtection="1">
      <alignment horizontal="center" vertical="center" wrapText="1"/>
    </xf>
    <xf numFmtId="180" fontId="27" fillId="0" borderId="11" xfId="0" applyFont="1" applyBorder="1" applyAlignment="1" applyProtection="1">
      <alignment horizontal="center" vertical="center" wrapText="1"/>
    </xf>
    <xf numFmtId="179" fontId="22" fillId="0" borderId="6" xfId="0" applyNumberFormat="1" applyFont="1" applyFill="1" applyBorder="1" applyAlignment="1" applyProtection="1">
      <alignment horizontal="center" vertical="center"/>
    </xf>
    <xf numFmtId="180" fontId="29" fillId="0" borderId="6" xfId="0" applyFont="1" applyBorder="1" applyAlignment="1" applyProtection="1">
      <alignment horizontal="center" vertical="center"/>
    </xf>
    <xf numFmtId="180" fontId="7" fillId="0" borderId="11" xfId="0" applyFont="1" applyFill="1" applyBorder="1" applyAlignment="1" applyProtection="1">
      <alignment horizontal="center" vertical="center" wrapText="1"/>
    </xf>
    <xf numFmtId="184" fontId="5" fillId="3" borderId="12" xfId="0" applyNumberFormat="1" applyFont="1" applyFill="1" applyBorder="1" applyAlignment="1" applyProtection="1">
      <alignment horizontal="center" vertical="center"/>
      <protection locked="0"/>
    </xf>
    <xf numFmtId="184" fontId="5" fillId="3" borderId="14" xfId="0" applyNumberFormat="1" applyFont="1" applyFill="1" applyBorder="1" applyAlignment="1" applyProtection="1">
      <alignment horizontal="center" vertical="center"/>
      <protection locked="0"/>
    </xf>
    <xf numFmtId="180" fontId="7" fillId="0" borderId="6" xfId="0" applyFont="1" applyBorder="1" applyAlignment="1" applyProtection="1">
      <alignment horizontal="center" vertical="center" wrapText="1"/>
    </xf>
    <xf numFmtId="180" fontId="0" fillId="0" borderId="6" xfId="0" applyBorder="1" applyAlignment="1" applyProtection="1">
      <alignment horizontal="center" vertical="center" wrapText="1"/>
    </xf>
    <xf numFmtId="184" fontId="5" fillId="2" borderId="6" xfId="0" applyNumberFormat="1" applyFont="1" applyFill="1" applyBorder="1" applyAlignment="1" applyProtection="1">
      <alignment horizontal="center" vertical="center" wrapText="1"/>
    </xf>
    <xf numFmtId="180" fontId="28" fillId="0" borderId="6" xfId="0" applyFont="1" applyBorder="1" applyAlignment="1" applyProtection="1">
      <alignment horizontal="center" vertical="center" wrapText="1"/>
    </xf>
    <xf numFmtId="180" fontId="5" fillId="0" borderId="5" xfId="0" applyFont="1" applyBorder="1" applyAlignment="1" applyProtection="1">
      <alignment horizontal="center" vertical="center"/>
    </xf>
    <xf numFmtId="180" fontId="5" fillId="0" borderId="11" xfId="0" applyFont="1" applyBorder="1" applyAlignment="1" applyProtection="1">
      <alignment horizontal="center" vertical="center"/>
    </xf>
    <xf numFmtId="180" fontId="9" fillId="3" borderId="9" xfId="0" applyFont="1" applyFill="1" applyBorder="1" applyAlignment="1" applyProtection="1">
      <alignment horizontal="left" vertical="center"/>
      <protection locked="0"/>
    </xf>
    <xf numFmtId="180" fontId="1" fillId="3" borderId="9" xfId="0" applyFont="1" applyFill="1" applyBorder="1" applyAlignment="1" applyProtection="1">
      <alignment vertical="center"/>
      <protection locked="0"/>
    </xf>
    <xf numFmtId="185" fontId="9" fillId="0" borderId="0" xfId="1" quotePrefix="1" applyNumberFormat="1" applyFont="1" applyBorder="1" applyAlignment="1" applyProtection="1">
      <alignment horizontal="left" vertical="top"/>
      <protection locked="0"/>
    </xf>
    <xf numFmtId="183" fontId="5" fillId="0" borderId="12" xfId="2" applyNumberFormat="1" applyFont="1" applyBorder="1" applyAlignment="1" applyProtection="1">
      <alignment horizontal="center" vertical="center" wrapText="1"/>
    </xf>
    <xf numFmtId="180" fontId="28" fillId="0" borderId="13" xfId="0" applyFont="1" applyBorder="1" applyAlignment="1" applyProtection="1">
      <alignment horizontal="center" vertical="center" wrapText="1"/>
    </xf>
    <xf numFmtId="180" fontId="28" fillId="0" borderId="14" xfId="0" applyFont="1" applyBorder="1" applyAlignment="1" applyProtection="1">
      <alignment horizontal="center" vertical="center" wrapText="1"/>
    </xf>
    <xf numFmtId="180" fontId="7" fillId="0" borderId="11" xfId="0" applyFont="1" applyBorder="1" applyAlignment="1" applyProtection="1">
      <alignment horizontal="center" vertical="center"/>
    </xf>
    <xf numFmtId="180" fontId="27" fillId="0" borderId="6" xfId="0" applyFont="1" applyBorder="1" applyAlignment="1" applyProtection="1">
      <alignment horizontal="center" vertical="center"/>
    </xf>
    <xf numFmtId="178" fontId="3" fillId="0" borderId="8" xfId="1" applyFont="1" applyBorder="1" applyAlignment="1" applyProtection="1">
      <alignment horizontal="center" vertical="center"/>
    </xf>
    <xf numFmtId="178" fontId="3" fillId="0" borderId="9" xfId="1" applyFont="1" applyBorder="1" applyAlignment="1" applyProtection="1">
      <alignment horizontal="center" vertical="center"/>
    </xf>
    <xf numFmtId="178" fontId="3" fillId="0" borderId="10" xfId="1" applyFont="1" applyBorder="1" applyAlignment="1" applyProtection="1">
      <alignment horizontal="center" vertical="center"/>
    </xf>
    <xf numFmtId="178" fontId="3" fillId="0" borderId="2" xfId="1" applyFont="1" applyBorder="1" applyAlignment="1" applyProtection="1">
      <alignment horizontal="center" vertical="center"/>
    </xf>
    <xf numFmtId="178" fontId="3" fillId="0" borderId="7" xfId="1" applyFont="1" applyBorder="1" applyAlignment="1" applyProtection="1">
      <alignment horizontal="center" vertical="center"/>
    </xf>
    <xf numFmtId="178" fontId="3" fillId="0" borderId="3" xfId="1" applyFont="1" applyBorder="1" applyAlignment="1" applyProtection="1">
      <alignment horizontal="center" vertical="center"/>
    </xf>
    <xf numFmtId="0" fontId="7" fillId="0" borderId="8" xfId="0" applyNumberFormat="1" applyFont="1" applyBorder="1" applyAlignment="1" applyProtection="1">
      <alignment horizontal="center" vertical="center"/>
      <protection locked="0"/>
    </xf>
    <xf numFmtId="0" fontId="7" fillId="0" borderId="10" xfId="0" applyNumberFormat="1" applyFont="1" applyBorder="1" applyAlignment="1" applyProtection="1">
      <alignment horizontal="center" vertical="center"/>
      <protection locked="0"/>
    </xf>
    <xf numFmtId="180" fontId="1" fillId="0" borderId="2" xfId="0" applyFont="1" applyBorder="1" applyAlignment="1" applyProtection="1">
      <alignment horizontal="center" vertical="center"/>
      <protection locked="0"/>
    </xf>
    <xf numFmtId="180" fontId="1" fillId="0" borderId="3" xfId="0" applyFont="1" applyBorder="1" applyAlignment="1" applyProtection="1">
      <alignment horizontal="center" vertical="center"/>
      <protection locked="0"/>
    </xf>
    <xf numFmtId="180" fontId="7" fillId="0" borderId="8" xfId="0" applyFont="1" applyBorder="1" applyAlignment="1" applyProtection="1">
      <alignment horizontal="center" vertical="center"/>
      <protection locked="0"/>
    </xf>
    <xf numFmtId="180" fontId="7" fillId="0" borderId="10" xfId="0" applyFont="1" applyBorder="1" applyAlignment="1" applyProtection="1">
      <alignment horizontal="center" vertical="center"/>
      <protection locked="0"/>
    </xf>
    <xf numFmtId="178" fontId="3" fillId="0" borderId="8" xfId="1" applyFont="1" applyBorder="1" applyAlignment="1" applyProtection="1">
      <alignment horizontal="left" vertical="center"/>
    </xf>
    <xf numFmtId="178" fontId="3" fillId="0" borderId="9" xfId="1" applyFont="1" applyBorder="1" applyAlignment="1" applyProtection="1">
      <alignment horizontal="left" vertical="center"/>
    </xf>
    <xf numFmtId="180" fontId="1" fillId="0" borderId="9" xfId="0" applyFont="1" applyBorder="1" applyAlignment="1" applyProtection="1"/>
    <xf numFmtId="180" fontId="1" fillId="0" borderId="10" xfId="0" applyFont="1" applyBorder="1" applyAlignment="1" applyProtection="1"/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'04'!$B$20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'04'!$G$9:$G$13</c:f>
              <c:numCache>
                <c:formatCode>0.00_)</c:formatCode>
                <c:ptCount val="5"/>
                <c:pt idx="0">
                  <c:v>1.08</c:v>
                </c:pt>
                <c:pt idx="1">
                  <c:v>1.18</c:v>
                </c:pt>
                <c:pt idx="2">
                  <c:v>1.29</c:v>
                </c:pt>
                <c:pt idx="3">
                  <c:v>1.4</c:v>
                </c:pt>
                <c:pt idx="4">
                  <c:v>1.53</c:v>
                </c:pt>
              </c:numCache>
            </c:numRef>
          </c:xVal>
          <c:yVal>
            <c:numRef>
              <c:f>'04'!$F$9:$F$13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F-4FFF-88BE-EE1C62EE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45168"/>
        <c:axId val="1"/>
      </c:scatterChart>
      <c:valAx>
        <c:axId val="376245168"/>
        <c:scaling>
          <c:orientation val="minMax"/>
          <c:max val="1.6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altLang="en-US" sz="1000" b="0" i="0" u="none" strike="noStrike" baseline="0"/>
                  <a:t>實際流量</a:t>
                </a:r>
                <a:r>
                  <a:rPr lang="en-US" altLang="zh-TW" sz="1000" b="0" i="0" u="none" strike="noStrike" baseline="0"/>
                  <a:t>(Q</a:t>
                </a:r>
                <a:r>
                  <a:rPr lang="en-US" altLang="zh-TW" sz="1000" b="0" i="0" u="none" strike="noStrike" baseline="-25000"/>
                  <a:t>std</a:t>
                </a:r>
                <a:r>
                  <a:rPr lang="en-US" altLang="zh-TW" sz="1000" b="0" i="0" u="none" strike="noStrike" baseline="0"/>
                  <a:t>) </a:t>
                </a:r>
                <a:r>
                  <a:rPr lang="en-US" sz="1000" b="0" i="0" u="none" strike="noStrike" baseline="0"/>
                  <a:t>m</a:t>
                </a:r>
                <a:r>
                  <a:rPr lang="en-US" sz="1000" b="0" i="0" u="none" strike="noStrike" baseline="30000"/>
                  <a:t>3</a:t>
                </a:r>
                <a:r>
                  <a:rPr lang="en-US" sz="1000" b="0" i="0" u="none" strike="noStrike" baseline="0"/>
                  <a:t>/min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705584215766129"/>
              <c:y val="0.899679404481219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marL="0" marR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sz="1000" b="0" i="0" baseline="0"/>
                  <a:t>流量計讀值</a:t>
                </a:r>
                <a:r>
                  <a:rPr lang="en-US" altLang="zh-TW" sz="1000" b="0" i="0" baseline="0"/>
                  <a:t> (Y)</a:t>
                </a:r>
                <a:endParaRPr lang="zh-TW" sz="1000"/>
              </a:p>
            </c:rich>
          </c:tx>
          <c:layout>
            <c:manualLayout>
              <c:xMode val="edge"/>
              <c:yMode val="edge"/>
              <c:x val="8.0904429674926309E-3"/>
              <c:y val="0.2750828180375758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 pitchFamily="34" charset="0"/>
                <a:ea typeface="Times New Roman"/>
                <a:cs typeface="Tahoma" pitchFamily="34" charset="0"/>
              </a:defRPr>
            </a:pPr>
            <a:endParaRPr lang="zh-TW"/>
          </a:p>
        </c:txPr>
        <c:crossAx val="3762451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>
      <c:oddHeader>&amp;A</c:oddHeader>
      <c:oddFooter>第&amp;P頁</c:oddFooter>
    </c:headerFooter>
    <c:pageMargins b="1" l="0.75" r="0.75" t="1" header="0.5" footer="0.5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805446" name="Chart 3">
          <a:extLst>
            <a:ext uri="{FF2B5EF4-FFF2-40B4-BE49-F238E27FC236}">
              <a16:creationId xmlns:a16="http://schemas.microsoft.com/office/drawing/2014/main" id="{A2F40CC7-95E4-449C-9E72-0F3295928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297820</xdr:colOff>
      <xdr:row>18</xdr:row>
      <xdr:rowOff>209338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31DCA626-010A-480C-9C56-B7024994E154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805448" name="圖片 2">
          <a:extLst>
            <a:ext uri="{FF2B5EF4-FFF2-40B4-BE49-F238E27FC236}">
              <a16:creationId xmlns:a16="http://schemas.microsoft.com/office/drawing/2014/main" id="{BC2C7F1D-3BEA-408E-BB2E-08DA3022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069"/>
          <a:ext cx="2809702" cy="59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374073</xdr:rowOff>
    </xdr:to>
    <xdr:pic>
      <xdr:nvPicPr>
        <xdr:cNvPr id="1805449" name="圖片 4">
          <a:extLst>
            <a:ext uri="{FF2B5EF4-FFF2-40B4-BE49-F238E27FC236}">
              <a16:creationId xmlns:a16="http://schemas.microsoft.com/office/drawing/2014/main" id="{6EE3B29B-E22A-4A29-B666-D0CE0016D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54633"/>
          <a:ext cx="2128058" cy="440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297820</xdr:colOff>
      <xdr:row>18</xdr:row>
      <xdr:rowOff>209338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CFF9150B-39E2-430E-95E4-E49C023C6EE1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805451" name="圖片 2">
          <a:extLst>
            <a:ext uri="{FF2B5EF4-FFF2-40B4-BE49-F238E27FC236}">
              <a16:creationId xmlns:a16="http://schemas.microsoft.com/office/drawing/2014/main" id="{66643EEC-03F6-4DBF-9A6F-6824AC72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069"/>
          <a:ext cx="2809702" cy="59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374073</xdr:rowOff>
    </xdr:to>
    <xdr:pic>
      <xdr:nvPicPr>
        <xdr:cNvPr id="1805452" name="圖片 4">
          <a:extLst>
            <a:ext uri="{FF2B5EF4-FFF2-40B4-BE49-F238E27FC236}">
              <a16:creationId xmlns:a16="http://schemas.microsoft.com/office/drawing/2014/main" id="{B103510F-F1DB-43C6-8D21-1373A1BBF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54633"/>
          <a:ext cx="2128058" cy="440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35"/>
  <sheetViews>
    <sheetView showGridLines="0" tabSelected="1" zoomScale="60" zoomScaleNormal="60" workbookViewId="0">
      <selection activeCell="M4" sqref="M4"/>
    </sheetView>
  </sheetViews>
  <sheetFormatPr defaultColWidth="9" defaultRowHeight="16.399999999999999" x14ac:dyDescent="0.3"/>
  <cols>
    <col min="1" max="1" width="11" style="3" customWidth="1"/>
    <col min="2" max="2" width="12.109375" style="3" customWidth="1"/>
    <col min="3" max="4" width="10.6640625" style="3" customWidth="1"/>
    <col min="5" max="5" width="11.44140625" style="3" customWidth="1"/>
    <col min="6" max="9" width="10.21875" style="3" customWidth="1"/>
    <col min="10" max="11" width="9" style="3"/>
    <col min="12" max="12" width="13.77734375" style="3" customWidth="1"/>
    <col min="13" max="13" width="18.44140625" style="44" customWidth="1"/>
    <col min="14" max="14" width="24.6640625" style="44" customWidth="1"/>
    <col min="15" max="15" width="24.6640625" style="3" customWidth="1"/>
    <col min="16" max="16" width="15.88671875" style="3" customWidth="1"/>
    <col min="17" max="17" width="29.77734375" style="3" customWidth="1"/>
    <col min="18" max="16384" width="9" style="3"/>
  </cols>
  <sheetData>
    <row r="1" spans="1:17" ht="15.75" customHeight="1" x14ac:dyDescent="0.3">
      <c r="A1" s="15"/>
      <c r="B1" s="15"/>
      <c r="C1" s="10"/>
      <c r="D1" s="10"/>
      <c r="E1" s="10"/>
      <c r="F1" s="10"/>
      <c r="G1" s="10"/>
      <c r="H1" s="10"/>
      <c r="I1" s="16"/>
      <c r="J1" s="17"/>
    </row>
    <row r="2" spans="1:17" s="19" customFormat="1" ht="25.2" customHeight="1" x14ac:dyDescent="0.4">
      <c r="A2" s="102" t="s">
        <v>9</v>
      </c>
      <c r="B2" s="102"/>
      <c r="C2" s="102"/>
      <c r="D2" s="102"/>
      <c r="E2" s="102"/>
      <c r="F2" s="102"/>
      <c r="G2" s="102"/>
      <c r="H2" s="102"/>
      <c r="I2" s="102"/>
      <c r="J2" s="18"/>
      <c r="M2" s="45"/>
      <c r="N2" s="45"/>
    </row>
    <row r="3" spans="1:17" ht="10.5" customHeight="1" x14ac:dyDescent="0.3">
      <c r="A3" s="10"/>
      <c r="B3" s="10"/>
      <c r="C3" s="20"/>
      <c r="D3" s="10"/>
      <c r="E3" s="10"/>
      <c r="F3" s="10"/>
      <c r="G3" s="10"/>
      <c r="H3" s="10"/>
      <c r="I3" s="21"/>
    </row>
    <row r="4" spans="1:17" ht="25.2" customHeight="1" x14ac:dyDescent="0.3">
      <c r="A4" s="60" t="s">
        <v>1</v>
      </c>
      <c r="B4" s="103" t="s">
        <v>49</v>
      </c>
      <c r="C4" s="104"/>
      <c r="D4" s="105"/>
      <c r="E4" s="106" t="s">
        <v>10</v>
      </c>
      <c r="F4" s="107"/>
      <c r="G4" s="108" t="s">
        <v>63</v>
      </c>
      <c r="H4" s="109"/>
      <c r="I4" s="110"/>
    </row>
    <row r="5" spans="1:17" s="2" customFormat="1" ht="25.2" customHeight="1" x14ac:dyDescent="0.3">
      <c r="A5" s="61" t="s">
        <v>2</v>
      </c>
      <c r="B5" s="111" t="s">
        <v>66</v>
      </c>
      <c r="C5" s="112"/>
      <c r="D5" s="113"/>
      <c r="E5" s="114" t="s">
        <v>11</v>
      </c>
      <c r="F5" s="115"/>
      <c r="G5" s="108" t="s">
        <v>64</v>
      </c>
      <c r="H5" s="109"/>
      <c r="I5" s="110"/>
      <c r="K5" s="2" t="s">
        <v>52</v>
      </c>
      <c r="M5" s="46"/>
      <c r="N5" s="46"/>
    </row>
    <row r="6" spans="1:17" s="2" customFormat="1" ht="25.2" customHeight="1" x14ac:dyDescent="0.3">
      <c r="A6" s="61" t="s">
        <v>3</v>
      </c>
      <c r="B6" s="116" t="s">
        <v>72</v>
      </c>
      <c r="C6" s="117"/>
      <c r="D6" s="118"/>
      <c r="E6" s="114" t="s">
        <v>12</v>
      </c>
      <c r="F6" s="115"/>
      <c r="G6" s="108" t="s">
        <v>50</v>
      </c>
      <c r="H6" s="109"/>
      <c r="I6" s="110"/>
      <c r="K6" s="2" t="s">
        <v>53</v>
      </c>
      <c r="M6" s="46"/>
      <c r="N6" s="46"/>
    </row>
    <row r="7" spans="1:17" s="2" customFormat="1" ht="25.2" customHeight="1" x14ac:dyDescent="0.3">
      <c r="A7" s="119" t="s">
        <v>13</v>
      </c>
      <c r="B7" s="121" t="s">
        <v>46</v>
      </c>
      <c r="C7" s="123" t="s">
        <v>14</v>
      </c>
      <c r="D7" s="124"/>
      <c r="E7" s="124"/>
      <c r="F7" s="125" t="s">
        <v>15</v>
      </c>
      <c r="G7" s="125" t="s">
        <v>28</v>
      </c>
      <c r="H7" s="125" t="s">
        <v>29</v>
      </c>
      <c r="I7" s="127" t="s">
        <v>30</v>
      </c>
      <c r="M7" s="46"/>
      <c r="N7" s="57" t="s">
        <v>54</v>
      </c>
    </row>
    <row r="8" spans="1:17" ht="25.2" customHeight="1" x14ac:dyDescent="0.3">
      <c r="A8" s="120"/>
      <c r="B8" s="122"/>
      <c r="C8" s="62" t="s">
        <v>4</v>
      </c>
      <c r="D8" s="60" t="s">
        <v>5</v>
      </c>
      <c r="E8" s="60" t="s">
        <v>6</v>
      </c>
      <c r="F8" s="126"/>
      <c r="G8" s="126"/>
      <c r="H8" s="126"/>
      <c r="I8" s="126"/>
    </row>
    <row r="9" spans="1:17" ht="25.2" customHeight="1" x14ac:dyDescent="0.3">
      <c r="A9" s="47" t="s">
        <v>65</v>
      </c>
      <c r="B9" s="48">
        <v>2.5</v>
      </c>
      <c r="C9" s="49">
        <v>1.1000000000000001</v>
      </c>
      <c r="D9" s="49">
        <v>1.1000000000000001</v>
      </c>
      <c r="E9" s="49">
        <v>1.1000000000000001</v>
      </c>
      <c r="F9" s="38">
        <f>IF(E9="","",AVERAGE(C9:E9))</f>
        <v>1.1000000000000001</v>
      </c>
      <c r="G9" s="13">
        <f>IF(E9="","",(SQRT(B9*($H$15/760)*(298/($H$14+273)))-$E$16)/$C$16)</f>
        <v>1.08</v>
      </c>
      <c r="H9" s="13">
        <f>IF(E9="","",($E$20*G9+$G$20))</f>
        <v>1.1100000000000001</v>
      </c>
      <c r="I9" s="14">
        <f>IF(E9="","",(F9-H9)/H9*100)</f>
        <v>-0.9</v>
      </c>
      <c r="J9" s="22"/>
      <c r="K9" s="144" t="s">
        <v>55</v>
      </c>
      <c r="L9" s="147" t="s">
        <v>38</v>
      </c>
      <c r="M9" s="148"/>
      <c r="N9" s="58"/>
      <c r="O9" s="90" t="s">
        <v>37</v>
      </c>
      <c r="P9" s="58"/>
      <c r="Q9" s="55" t="s">
        <v>42</v>
      </c>
    </row>
    <row r="10" spans="1:17" ht="25.2" customHeight="1" x14ac:dyDescent="0.3">
      <c r="A10" s="47" t="s">
        <v>67</v>
      </c>
      <c r="B10" s="48">
        <v>3</v>
      </c>
      <c r="C10" s="49">
        <v>1.2</v>
      </c>
      <c r="D10" s="49">
        <v>1.2</v>
      </c>
      <c r="E10" s="49">
        <v>1.2</v>
      </c>
      <c r="F10" s="38">
        <f>IF(E10="","",AVERAGE(C10:E10))</f>
        <v>1.2</v>
      </c>
      <c r="G10" s="13">
        <f>IF(E10="","",(SQRT(B10*($H$15/760)*(298/($H$14+273)))-$E$16)/$C$16)</f>
        <v>1.18</v>
      </c>
      <c r="H10" s="13">
        <f>IF(E10="","",($E$20*G10+$G$20))</f>
        <v>1.2</v>
      </c>
      <c r="I10" s="14">
        <f>IF(E10="","",(F10-H10)/H10*100)</f>
        <v>0</v>
      </c>
      <c r="J10" s="22"/>
      <c r="K10" s="145"/>
      <c r="L10" s="128" t="s">
        <v>39</v>
      </c>
      <c r="M10" s="88" t="s">
        <v>36</v>
      </c>
      <c r="N10" s="92"/>
      <c r="O10" s="88" t="s">
        <v>43</v>
      </c>
      <c r="P10" s="91"/>
      <c r="Q10" s="130" t="str">
        <f>IF(N10="","",(P10-P11)/(P11)*100)</f>
        <v/>
      </c>
    </row>
    <row r="11" spans="1:17" ht="25.2" customHeight="1" x14ac:dyDescent="0.3">
      <c r="A11" s="47" t="s">
        <v>68</v>
      </c>
      <c r="B11" s="48">
        <v>3.6</v>
      </c>
      <c r="C11" s="49">
        <v>1.3</v>
      </c>
      <c r="D11" s="49">
        <v>1.3</v>
      </c>
      <c r="E11" s="49">
        <v>1.3</v>
      </c>
      <c r="F11" s="38">
        <f>IF(E11="","",AVERAGE(C11:E11))</f>
        <v>1.3</v>
      </c>
      <c r="G11" s="13">
        <f>IF(E11="","",(SQRT(B11*($H$15/760)*(298/($H$14+273)))-$E$16)/$C$16)</f>
        <v>1.29</v>
      </c>
      <c r="H11" s="13">
        <f>IF(E11="","",($E$20*G11+$G$20))</f>
        <v>1.29</v>
      </c>
      <c r="I11" s="14">
        <f>IF(E11="","",(F11-H11)/H11*100)</f>
        <v>0.8</v>
      </c>
      <c r="J11" s="22"/>
      <c r="K11" s="145"/>
      <c r="L11" s="129"/>
      <c r="M11" s="89" t="s">
        <v>40</v>
      </c>
      <c r="N11" s="54" t="str">
        <f>IF(N10="","",(SQRT(N10*(P9/760)*(298/(N9+273)))-E16)/C16)</f>
        <v/>
      </c>
      <c r="O11" s="89" t="s">
        <v>41</v>
      </c>
      <c r="P11" s="54" t="str">
        <f>IF(N10="","",N11*E20+G20)</f>
        <v/>
      </c>
      <c r="Q11" s="131"/>
    </row>
    <row r="12" spans="1:17" ht="25.2" customHeight="1" x14ac:dyDescent="0.3">
      <c r="A12" s="47" t="s">
        <v>69</v>
      </c>
      <c r="B12" s="48">
        <v>4.2</v>
      </c>
      <c r="C12" s="49">
        <v>1.4</v>
      </c>
      <c r="D12" s="49">
        <v>1.4</v>
      </c>
      <c r="E12" s="49">
        <v>1.4</v>
      </c>
      <c r="F12" s="38">
        <f>IF(E12="","",AVERAGE(C12:E12))</f>
        <v>1.4</v>
      </c>
      <c r="G12" s="13">
        <f>IF(E12="","",(SQRT(B12*($H$15/760)*(298/($H$14+273)))-$E$16)/$C$16)</f>
        <v>1.4</v>
      </c>
      <c r="H12" s="13">
        <f>IF(E12="","",($E$20*G12+$G$20))</f>
        <v>1.39</v>
      </c>
      <c r="I12" s="14">
        <f>IF(E12="","",(F12-H12)/H12*100)</f>
        <v>0.7</v>
      </c>
      <c r="J12" s="22"/>
      <c r="K12" s="145"/>
      <c r="L12" s="37"/>
      <c r="M12" s="37"/>
      <c r="N12" s="37"/>
      <c r="O12" s="37"/>
      <c r="P12" s="59"/>
      <c r="Q12" s="56"/>
    </row>
    <row r="13" spans="1:17" ht="25.2" customHeight="1" x14ac:dyDescent="0.3">
      <c r="A13" s="47" t="s">
        <v>70</v>
      </c>
      <c r="B13" s="48">
        <v>5</v>
      </c>
      <c r="C13" s="49">
        <v>1.5</v>
      </c>
      <c r="D13" s="49">
        <v>1.5</v>
      </c>
      <c r="E13" s="49">
        <v>1.5</v>
      </c>
      <c r="F13" s="38">
        <f>IF(E13="","",AVERAGE(C13:E13))</f>
        <v>1.5</v>
      </c>
      <c r="G13" s="13">
        <f>IF(E9="","",(SQRT(B13*($H$15/760)*(298/($H$14+273)))-$E$16)/$C$16)</f>
        <v>1.53</v>
      </c>
      <c r="H13" s="13">
        <f>IF(E13="","",($E$20*G13+$G$20))</f>
        <v>1.51</v>
      </c>
      <c r="I13" s="14">
        <f>IF(E13="","",(F13-H13)/H13*100)</f>
        <v>-0.7</v>
      </c>
      <c r="J13" s="22"/>
      <c r="K13" s="145"/>
      <c r="L13" s="132" t="s">
        <v>44</v>
      </c>
      <c r="M13" s="133"/>
      <c r="N13" s="135" t="s">
        <v>45</v>
      </c>
      <c r="O13" s="137" t="str">
        <f>IF(M13="","",ROUND((M13-G20)/E20,2))</f>
        <v/>
      </c>
      <c r="P13" s="37"/>
      <c r="Q13" s="37"/>
    </row>
    <row r="14" spans="1:17" s="1" customFormat="1" ht="22.6" customHeight="1" x14ac:dyDescent="0.3">
      <c r="A14" s="63" t="s">
        <v>16</v>
      </c>
      <c r="B14" s="64"/>
      <c r="C14" s="96"/>
      <c r="D14" s="141" t="s">
        <v>62</v>
      </c>
      <c r="E14" s="142"/>
      <c r="F14" s="69"/>
      <c r="G14" s="67" t="s">
        <v>17</v>
      </c>
      <c r="H14" s="50">
        <v>30.4</v>
      </c>
      <c r="I14" s="70" t="s">
        <v>18</v>
      </c>
      <c r="K14" s="146"/>
      <c r="L14" s="129"/>
      <c r="M14" s="134"/>
      <c r="N14" s="136"/>
      <c r="O14" s="138"/>
      <c r="P14" s="37"/>
      <c r="Q14" s="37"/>
    </row>
    <row r="15" spans="1:17" s="1" customFormat="1" ht="22.6" customHeight="1" x14ac:dyDescent="0.3">
      <c r="A15" s="65" t="s">
        <v>19</v>
      </c>
      <c r="B15" s="66"/>
      <c r="C15" s="97"/>
      <c r="D15" s="97"/>
      <c r="E15" s="5"/>
      <c r="F15" s="12"/>
      <c r="G15" s="68" t="s">
        <v>20</v>
      </c>
      <c r="H15" s="51">
        <v>756.8</v>
      </c>
      <c r="I15" s="71" t="s">
        <v>7</v>
      </c>
      <c r="L15" s="37"/>
    </row>
    <row r="16" spans="1:17" s="24" customFormat="1" ht="18.850000000000001" customHeight="1" x14ac:dyDescent="0.3">
      <c r="A16" s="72" t="s">
        <v>21</v>
      </c>
      <c r="B16" s="98"/>
      <c r="C16" s="52">
        <v>1.4493</v>
      </c>
      <c r="D16" s="73" t="s">
        <v>22</v>
      </c>
      <c r="E16" s="53">
        <v>2.9999999999999997E-4</v>
      </c>
      <c r="F16" s="23"/>
      <c r="G16" s="143"/>
      <c r="H16" s="143"/>
      <c r="I16" s="99"/>
      <c r="K16" s="1"/>
      <c r="L16" s="37"/>
    </row>
    <row r="17" spans="1:17" s="1" customFormat="1" ht="25.2" customHeight="1" x14ac:dyDescent="0.3">
      <c r="A17" s="74" t="s">
        <v>23</v>
      </c>
      <c r="B17" s="75"/>
      <c r="C17" s="76"/>
      <c r="D17" s="77"/>
      <c r="E17" s="76"/>
      <c r="F17" s="76"/>
      <c r="G17" s="78"/>
      <c r="H17" s="78"/>
      <c r="I17" s="79"/>
    </row>
    <row r="18" spans="1:17" s="1" customFormat="1" ht="33.75" customHeight="1" x14ac:dyDescent="0.3">
      <c r="A18" s="80"/>
      <c r="B18" s="81"/>
      <c r="C18" s="82"/>
      <c r="D18" s="83"/>
      <c r="E18" s="82"/>
      <c r="F18" s="82"/>
      <c r="G18" s="84"/>
      <c r="H18" s="84" t="s">
        <v>8</v>
      </c>
      <c r="I18" s="85"/>
      <c r="K18" s="144" t="s">
        <v>56</v>
      </c>
      <c r="L18" s="132" t="s">
        <v>44</v>
      </c>
      <c r="M18" s="133"/>
      <c r="N18" s="135" t="s">
        <v>45</v>
      </c>
      <c r="O18" s="137" t="str">
        <f>IF(M18="","",ROUND((M18-G20)/E20,2))</f>
        <v/>
      </c>
    </row>
    <row r="19" spans="1:17" s="1" customFormat="1" ht="24.75" customHeight="1" x14ac:dyDescent="0.3">
      <c r="A19" s="161" t="s">
        <v>31</v>
      </c>
      <c r="B19" s="162"/>
      <c r="C19" s="163"/>
      <c r="D19" s="163"/>
      <c r="E19" s="163"/>
      <c r="F19" s="163"/>
      <c r="G19" s="163"/>
      <c r="H19" s="163"/>
      <c r="I19" s="164"/>
      <c r="K19" s="145"/>
      <c r="L19" s="129"/>
      <c r="M19" s="134"/>
      <c r="N19" s="136"/>
      <c r="O19" s="138"/>
    </row>
    <row r="20" spans="1:17" s="1" customFormat="1" ht="25.2" customHeight="1" x14ac:dyDescent="0.3">
      <c r="A20" s="11" t="s">
        <v>24</v>
      </c>
      <c r="B20" s="12"/>
      <c r="C20" s="86"/>
      <c r="D20" s="87" t="s">
        <v>32</v>
      </c>
      <c r="E20" s="39">
        <f>IF(E13="","",SLOPE(F9:F13,G9:G13))</f>
        <v>0.89090000000000003</v>
      </c>
      <c r="F20" s="40" t="s">
        <v>33</v>
      </c>
      <c r="G20" s="41">
        <f>IF(E13="","",INTERCEPT(F9:F13,G9:G13))</f>
        <v>0.1454</v>
      </c>
      <c r="H20" s="42" t="s">
        <v>25</v>
      </c>
      <c r="I20" s="43">
        <f>IF(E13="","",PEARSON(F9:F13,G9:G13))</f>
        <v>0.99890000000000001</v>
      </c>
      <c r="K20" s="145"/>
    </row>
    <row r="21" spans="1:17" s="1" customFormat="1" ht="25.2" customHeight="1" x14ac:dyDescent="0.3">
      <c r="A21" s="25"/>
      <c r="B21" s="6"/>
      <c r="C21" s="4"/>
      <c r="D21" s="26"/>
      <c r="E21" s="27"/>
      <c r="F21" s="27"/>
      <c r="G21" s="27"/>
      <c r="H21" s="6"/>
      <c r="I21" s="7"/>
      <c r="K21" s="145"/>
      <c r="L21" s="147" t="s">
        <v>38</v>
      </c>
      <c r="M21" s="148"/>
      <c r="N21" s="58"/>
      <c r="O21" s="90" t="s">
        <v>37</v>
      </c>
      <c r="P21" s="58"/>
      <c r="Q21" s="55" t="s">
        <v>42</v>
      </c>
    </row>
    <row r="22" spans="1:17" s="1" customFormat="1" ht="25.2" customHeight="1" x14ac:dyDescent="0.3">
      <c r="A22" s="25"/>
      <c r="B22" s="6"/>
      <c r="C22" s="4"/>
      <c r="D22" s="26"/>
      <c r="E22" s="27"/>
      <c r="F22" s="27"/>
      <c r="G22" s="27"/>
      <c r="H22" s="6"/>
      <c r="I22" s="7"/>
      <c r="K22" s="145"/>
      <c r="L22" s="128" t="s">
        <v>39</v>
      </c>
      <c r="M22" s="88" t="s">
        <v>36</v>
      </c>
      <c r="N22" s="92"/>
      <c r="O22" s="88" t="s">
        <v>43</v>
      </c>
      <c r="P22" s="91"/>
      <c r="Q22" s="130" t="str">
        <f>IF(N22="","",(P22-P23)/(P23)*100)</f>
        <v/>
      </c>
    </row>
    <row r="23" spans="1:17" s="1" customFormat="1" ht="25.2" customHeight="1" x14ac:dyDescent="0.3">
      <c r="A23" s="25"/>
      <c r="B23" s="6"/>
      <c r="C23" s="4"/>
      <c r="D23" s="26"/>
      <c r="E23" s="27"/>
      <c r="F23" s="27"/>
      <c r="G23" s="27"/>
      <c r="H23" s="6"/>
      <c r="I23" s="7"/>
      <c r="K23" s="146"/>
      <c r="L23" s="129"/>
      <c r="M23" s="89" t="s">
        <v>40</v>
      </c>
      <c r="N23" s="54" t="str">
        <f>IF(N22="","",(SQRT(N22*(P21/760)*(298/(N21+273)))-E16)/C16)</f>
        <v/>
      </c>
      <c r="O23" s="89" t="s">
        <v>41</v>
      </c>
      <c r="P23" s="54" t="str">
        <f>IF(N22="","",N23*E20+G20)</f>
        <v/>
      </c>
      <c r="Q23" s="131"/>
    </row>
    <row r="24" spans="1:17" s="1" customFormat="1" ht="25.2" customHeight="1" x14ac:dyDescent="0.3">
      <c r="A24" s="25"/>
      <c r="B24" s="6"/>
      <c r="C24" s="4"/>
      <c r="D24" s="26"/>
      <c r="E24" s="27"/>
      <c r="F24" s="6"/>
      <c r="G24" s="6"/>
      <c r="H24" s="6"/>
      <c r="I24" s="7"/>
      <c r="L24" s="3"/>
      <c r="M24" s="44"/>
      <c r="N24" s="44"/>
      <c r="O24" s="3"/>
      <c r="P24" s="3"/>
    </row>
    <row r="25" spans="1:17" s="1" customFormat="1" ht="25.2" customHeight="1" x14ac:dyDescent="0.3">
      <c r="A25" s="25"/>
      <c r="B25" s="6"/>
      <c r="C25" s="4"/>
      <c r="D25" s="28"/>
      <c r="E25" s="28"/>
      <c r="F25" s="6"/>
      <c r="G25" s="6"/>
      <c r="H25" s="6"/>
      <c r="I25" s="7"/>
      <c r="L25" s="3"/>
      <c r="M25" s="44"/>
      <c r="N25" s="44"/>
      <c r="O25" s="3"/>
      <c r="P25" s="3"/>
      <c r="Q25" s="37"/>
    </row>
    <row r="26" spans="1:17" s="1" customFormat="1" ht="25.2" customHeight="1" x14ac:dyDescent="0.3">
      <c r="A26" s="25"/>
      <c r="B26" s="6"/>
      <c r="C26" s="29"/>
      <c r="D26" s="6"/>
      <c r="E26" s="6"/>
      <c r="F26" s="6"/>
      <c r="G26" s="6"/>
      <c r="H26" s="6"/>
      <c r="I26" s="7"/>
      <c r="K26" s="139" t="s">
        <v>57</v>
      </c>
      <c r="L26" s="140"/>
      <c r="M26" s="101"/>
      <c r="N26" s="93" t="s">
        <v>59</v>
      </c>
      <c r="O26" s="101"/>
      <c r="P26" s="93" t="s">
        <v>34</v>
      </c>
      <c r="Q26" s="3"/>
    </row>
    <row r="27" spans="1:17" s="1" customFormat="1" ht="25.2" customHeight="1" x14ac:dyDescent="0.3">
      <c r="A27" s="25"/>
      <c r="B27" s="6"/>
      <c r="C27" s="30"/>
      <c r="D27" s="31"/>
      <c r="E27" s="30"/>
      <c r="F27" s="31"/>
      <c r="G27" s="31"/>
      <c r="H27" s="6"/>
      <c r="I27" s="7" t="s">
        <v>26</v>
      </c>
      <c r="K27" s="94" t="s">
        <v>35</v>
      </c>
      <c r="L27" s="94"/>
      <c r="M27" s="100" t="str">
        <f>IF(M13="","",IF(M26&gt;3,AVERAGE(O13,O18)*(M26*60+O26),"---"))</f>
        <v/>
      </c>
      <c r="N27" s="95" t="s">
        <v>60</v>
      </c>
      <c r="O27" s="3"/>
    </row>
    <row r="28" spans="1:17" s="1" customFormat="1" ht="25.2" customHeight="1" x14ac:dyDescent="0.3">
      <c r="A28" s="25"/>
      <c r="B28" s="6"/>
      <c r="C28" s="30"/>
      <c r="D28" s="31"/>
      <c r="E28" s="30"/>
      <c r="F28" s="31"/>
      <c r="G28" s="31"/>
      <c r="H28" s="6"/>
      <c r="I28" s="7"/>
      <c r="K28" s="94" t="s">
        <v>58</v>
      </c>
      <c r="L28" s="94"/>
      <c r="M28" s="100" t="str">
        <f>IF(M13="","",IF(M26&lt;3,(AVERAGE(O13,O18)*(M26*60+O26))*((273/(273+(N9*0.5+N21*0.5)))*((P9*0.5+P21*0.5)/760)),"---"))</f>
        <v/>
      </c>
      <c r="N28" s="95" t="s">
        <v>61</v>
      </c>
      <c r="O28" s="3"/>
      <c r="P28" s="3"/>
      <c r="Q28" s="3"/>
    </row>
    <row r="29" spans="1:17" s="1" customFormat="1" ht="25.2" customHeight="1" x14ac:dyDescent="0.3">
      <c r="A29" s="25"/>
      <c r="B29" s="6"/>
      <c r="C29" s="30"/>
      <c r="D29" s="31"/>
      <c r="E29" s="30"/>
      <c r="F29" s="31"/>
      <c r="G29" s="31"/>
      <c r="H29" s="6"/>
      <c r="I29" s="7"/>
      <c r="L29" s="3"/>
      <c r="M29" s="44"/>
      <c r="N29" s="44"/>
      <c r="O29" s="3"/>
      <c r="P29" s="3"/>
      <c r="Q29" s="3"/>
    </row>
    <row r="30" spans="1:17" s="1" customFormat="1" ht="25.2" customHeight="1" x14ac:dyDescent="0.3">
      <c r="A30" s="25"/>
      <c r="B30" s="6"/>
      <c r="C30" s="31" t="s">
        <v>0</v>
      </c>
      <c r="D30" s="32" t="s">
        <v>0</v>
      </c>
      <c r="E30" s="32"/>
      <c r="F30" s="32"/>
      <c r="G30" s="6"/>
      <c r="H30" s="6"/>
      <c r="I30" s="7"/>
      <c r="K30" s="37"/>
      <c r="L30" s="3"/>
      <c r="M30" s="44"/>
      <c r="N30" s="44"/>
      <c r="O30" s="3"/>
      <c r="P30" s="3"/>
      <c r="Q30" s="3"/>
    </row>
    <row r="31" spans="1:17" s="37" customFormat="1" ht="25.2" customHeight="1" x14ac:dyDescent="0.3">
      <c r="A31" s="8"/>
      <c r="B31" s="33"/>
      <c r="C31" s="33"/>
      <c r="D31" s="33"/>
      <c r="E31" s="34" t="s">
        <v>26</v>
      </c>
      <c r="F31" s="35" t="s">
        <v>26</v>
      </c>
      <c r="G31" s="36"/>
      <c r="H31" s="33"/>
      <c r="I31" s="9"/>
      <c r="K31" s="3"/>
      <c r="L31" s="3"/>
      <c r="M31" s="44"/>
      <c r="N31" s="44"/>
      <c r="O31" s="3"/>
      <c r="P31" s="3"/>
      <c r="Q31" s="3"/>
    </row>
    <row r="32" spans="1:17" ht="25.2" customHeight="1" x14ac:dyDescent="0.3">
      <c r="A32" s="149" t="s">
        <v>27</v>
      </c>
      <c r="B32" s="150"/>
      <c r="C32" s="151"/>
      <c r="D32" s="155" t="s">
        <v>47</v>
      </c>
      <c r="E32" s="156"/>
      <c r="F32" s="149" t="s">
        <v>48</v>
      </c>
      <c r="G32" s="151"/>
      <c r="H32" s="159" t="s">
        <v>71</v>
      </c>
      <c r="I32" s="160"/>
    </row>
    <row r="33" spans="1:10" ht="25.2" customHeight="1" x14ac:dyDescent="0.3">
      <c r="A33" s="152"/>
      <c r="B33" s="153"/>
      <c r="C33" s="154"/>
      <c r="D33" s="157"/>
      <c r="E33" s="158"/>
      <c r="F33" s="152"/>
      <c r="G33" s="154"/>
      <c r="H33" s="157"/>
      <c r="I33" s="158"/>
    </row>
    <row r="34" spans="1:10" x14ac:dyDescent="0.3">
      <c r="C34" s="10"/>
      <c r="D34" s="10"/>
      <c r="E34" s="10"/>
      <c r="F34" s="10"/>
      <c r="G34" s="10"/>
      <c r="H34" s="10"/>
      <c r="I34" s="16"/>
      <c r="J34" s="17"/>
    </row>
    <row r="35" spans="1:10" x14ac:dyDescent="0.3">
      <c r="A35" s="10" t="s">
        <v>51</v>
      </c>
      <c r="B35" s="10"/>
      <c r="I35" s="17"/>
      <c r="J35" s="17"/>
    </row>
  </sheetData>
  <sheetProtection password="8A83" sheet="1"/>
  <mergeCells count="41">
    <mergeCell ref="A32:C33"/>
    <mergeCell ref="D32:E33"/>
    <mergeCell ref="F32:G33"/>
    <mergeCell ref="H32:I33"/>
    <mergeCell ref="O18:O19"/>
    <mergeCell ref="A19:I19"/>
    <mergeCell ref="L21:M21"/>
    <mergeCell ref="L22:L23"/>
    <mergeCell ref="Q22:Q23"/>
    <mergeCell ref="K26:L26"/>
    <mergeCell ref="D14:E14"/>
    <mergeCell ref="G16:H16"/>
    <mergeCell ref="K18:K23"/>
    <mergeCell ref="L18:L19"/>
    <mergeCell ref="M18:M19"/>
    <mergeCell ref="N18:N19"/>
    <mergeCell ref="K9:K14"/>
    <mergeCell ref="L9:M9"/>
    <mergeCell ref="L10:L11"/>
    <mergeCell ref="Q10:Q11"/>
    <mergeCell ref="L13:L14"/>
    <mergeCell ref="M13:M14"/>
    <mergeCell ref="N13:N14"/>
    <mergeCell ref="O13:O14"/>
    <mergeCell ref="B6:D6"/>
    <mergeCell ref="E6:F6"/>
    <mergeCell ref="G6:I6"/>
    <mergeCell ref="A7:A8"/>
    <mergeCell ref="B7:B8"/>
    <mergeCell ref="C7:E7"/>
    <mergeCell ref="F7:F8"/>
    <mergeCell ref="G7:G8"/>
    <mergeCell ref="H7:H8"/>
    <mergeCell ref="I7:I8"/>
    <mergeCell ref="A2:I2"/>
    <mergeCell ref="B4:D4"/>
    <mergeCell ref="E4:F4"/>
    <mergeCell ref="G4:I4"/>
    <mergeCell ref="B5:D5"/>
    <mergeCell ref="E5:F5"/>
    <mergeCell ref="G5:I5"/>
  </mergeCells>
  <phoneticPr fontId="4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 r:id="rId1"/>
  <headerFooter alignWithMargins="0">
    <oddHeader>&amp;R
LS-47-01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04</vt:lpstr>
      <vt:lpstr>'04'!Print_Area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2026-10-05T07:51:46Z</dcterms:modified>
</cp:coreProperties>
</file>