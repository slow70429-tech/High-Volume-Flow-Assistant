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AOOOI\TSP_Excel_Batch_Unlock_V3\OUTPUT\"/>
    </mc:Choice>
  </mc:AlternateContent>
  <xr:revisionPtr revIDLastSave="0" documentId="8_{41FABEF4-838F-4BA2-BD49-727EB6823BA7}" xr6:coauthVersionLast="47" xr6:coauthVersionMax="47" xr10:uidLastSave="{00000000-0000-0000-0000-000000000000}"/>
  <bookViews>
    <workbookView xWindow="-118" yWindow="-118" windowWidth="25370" windowHeight="13667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G9" i="100"/>
  <c r="F10" i="100"/>
  <c r="G10" i="100"/>
  <c r="E20" i="100" s="1"/>
  <c r="F11" i="100"/>
  <c r="G11" i="100"/>
  <c r="N11" i="100"/>
  <c r="P11" i="100"/>
  <c r="Q10" i="100"/>
  <c r="F12" i="100"/>
  <c r="G12" i="100"/>
  <c r="F13" i="100"/>
  <c r="G13" i="100"/>
  <c r="P23" i="100"/>
  <c r="Q22" i="100"/>
  <c r="O18" i="100"/>
  <c r="N23" i="100"/>
  <c r="M27" i="100"/>
  <c r="O13" i="100"/>
  <c r="M28" i="100"/>
  <c r="I20" i="100"/>
  <c r="G20" i="100" l="1"/>
  <c r="H9" i="100" s="1"/>
  <c r="I9" i="100" s="1"/>
  <c r="H13" i="100" l="1"/>
  <c r="I13" i="100" s="1"/>
  <c r="H12" i="100"/>
  <c r="I12" i="100" s="1"/>
  <c r="H10" i="100"/>
  <c r="I10" i="100" s="1"/>
  <c r="H11" i="100"/>
  <c r="I11" i="100" s="1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<sst xmlns="http://schemas.openxmlformats.org/spreadsheetml/2006/main" count="86" uniqueCount="71">
  <si>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</si>
  <si>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</si>
  <si>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</si>
  <si>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</si>
  <si>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</si>
  <si>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</si>
  <si>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</si>
  <si>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</si>
  <si>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</si>
  <si>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</si>
  <si>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</si>
  <si>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</si>
  <si>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</si>
  <si>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</si>
  <si>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</si>
  <si>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</si>
  <si>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</si>
  <si>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</si>
  <si>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</si>
  <si>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</si>
  <si>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</si>
  <si>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</si>
  <si>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</si>
  <si>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</si>
  <si>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</si>
  <si>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</si>
  <si>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</si>
  <si>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</si>
  <si>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</si>
  <si>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</si>
  <si>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</si>
  <si>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</si>
  <si>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</si>
  <si>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r>
      <t>GRASEBY/41N   (A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</si>
  <si>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</si>
  <si>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</si>
  <si>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</si>
  <si>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</si>
  <si>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</si>
  <si>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</si>
  <si>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</si>
  <si>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</si>
  <si>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</si>
  <si>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</si>
  <si>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</si>
  <si>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</si>
  <si>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</si>
  <si>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</si>
  <si>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</si>
  <si>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</si>
  <si>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</si>
  <si>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</si>
  <si>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</si>
  <si>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</si>
  <si>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</si>
  <si>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</si>
  <si>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</si>
  <si>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</si>
  <si>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</si>
  <si>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</si>
  <si>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t>115.05.29</t>
    <phoneticPr fontId="30" type="noConversion"/>
  </si>
  <si>
    <r>
      <t>P</t>
    </r>
    <r>
      <rPr>
        <sz val="12"/>
        <rFont val="新細明體"/>
        <family val="1"/>
        <charset val="136"/>
      </rPr>
      <t>4</t>
    </r>
    <phoneticPr fontId="30" type="noConversion"/>
  </si>
  <si>
    <r>
      <t>FU</t>
    </r>
    <r>
      <rPr>
        <sz val="12"/>
        <rFont val="新細明體"/>
        <family val="1"/>
        <charset val="136"/>
      </rPr>
      <t>4</t>
    </r>
    <phoneticPr fontId="30" type="noConversion"/>
  </si>
  <si>
    <t>華光公司</t>
    <phoneticPr fontId="30" type="noConversion"/>
  </si>
  <si>
    <t>16:04</t>
    <phoneticPr fontId="30" type="noConversion"/>
  </si>
  <si>
    <t>16:16</t>
    <phoneticPr fontId="30" type="noConversion"/>
  </si>
  <si>
    <t>16:27</t>
    <phoneticPr fontId="30" type="noConversion"/>
  </si>
  <si>
    <t>16:37</t>
    <phoneticPr fontId="30" type="noConversion"/>
  </si>
  <si>
    <t>16:49</t>
    <phoneticPr fontId="30" type="noConversion"/>
  </si>
  <si>
    <t>陳澤瑋</t>
    <phoneticPr fontId="30" type="noConversion"/>
  </si>
  <si>
    <t>TISCH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</si>
</sst>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1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7" fontId="9" fillId="3" borderId="13" xfId="0" applyNumberFormat="1" applyFont="1" applyFill="1" applyBorder="1" applyAlignment="1" applyProtection="1">
      <alignment horizontal="center" vertical="center"/>
      <protection locked="0"/>
    </xf>
    <xf numFmtId="187" fontId="9" fillId="3" borderId="15" xfId="0" applyNumberFormat="1" applyFont="1" applyFill="1" applyBorder="1" applyAlignment="1" applyProtection="1">
      <alignment horizontal="center" vertical="center"/>
      <protection locked="0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  <xf numFmtId="176" fontId="5" fillId="0" borderId="12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81" fontId="9" fillId="0" borderId="13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5" xfId="0" applyFont="1" applyBorder="1" applyAlignment="1" applyProtection="1">
      <alignment horizontal="center" vertical="center" wrapText="1"/>
    </xf>
    <xf numFmtId="176" fontId="5" fillId="0" borderId="12" xfId="0" applyFont="1" applyBorder="1" applyAlignment="1" applyProtection="1">
      <alignment horizontal="center" vertical="center" wrapText="1"/>
    </xf>
    <xf numFmtId="176" fontId="11" fillId="0" borderId="12" xfId="0" applyFont="1" applyBorder="1" applyAlignment="1" applyProtection="1">
      <alignment horizontal="center" vertical="center" wrapText="1"/>
    </xf>
    <xf numFmtId="176" fontId="5" fillId="0" borderId="12" xfId="0" applyFont="1" applyFill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2" xfId="0" applyFont="1" applyBorder="1" applyAlignment="1" applyProtection="1">
      <alignment horizontal="center" vertical="center"/>
    </xf>
    <xf numFmtId="177" fontId="7" fillId="0" borderId="13" xfId="1" applyFont="1" applyBorder="1" applyAlignment="1" applyProtection="1">
      <alignment horizontal="center" vertical="center" wrapText="1"/>
    </xf>
    <xf numFmtId="176" fontId="0" fillId="0" borderId="15" xfId="0" applyFont="1" applyBorder="1" applyAlignment="1" applyProtection="1">
      <alignment horizontal="center" vertical="center"/>
    </xf>
    <xf numFmtId="177" fontId="8" fillId="0" borderId="13" xfId="1" applyFont="1" applyBorder="1" applyAlignment="1" applyProtection="1">
      <alignment horizontal="center" vertical="center" wrapText="1"/>
      <protection locked="0"/>
    </xf>
    <xf numFmtId="176" fontId="0" fillId="0" borderId="15" xfId="0" applyFont="1" applyBorder="1" applyAlignment="1" applyProtection="1">
      <alignment horizontal="center" vertical="center"/>
      <protection locked="0"/>
    </xf>
    <xf numFmtId="177" fontId="6" fillId="0" borderId="13" xfId="1" applyFont="1" applyBorder="1" applyAlignment="1" applyProtection="1">
      <alignment horizontal="center" vertical="center" wrapText="1"/>
    </xf>
    <xf numFmtId="176" fontId="0" fillId="0" borderId="15" xfId="0" applyFont="1" applyBorder="1" applyAlignment="1" applyProtection="1">
      <alignment horizontal="center" vertical="center" wrapText="1"/>
    </xf>
    <xf numFmtId="176" fontId="6" fillId="0" borderId="13" xfId="0" applyFont="1" applyBorder="1" applyAlignment="1" applyProtection="1">
      <alignment horizontal="center" vertical="center" wrapText="1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1" xfId="1" applyFont="1" applyFill="1" applyBorder="1" applyAlignment="1" applyProtection="1">
      <alignment horizontal="center" vertical="center"/>
      <protection locked="0"/>
    </xf>
    <xf numFmtId="177" fontId="3" fillId="3" borderId="12" xfId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2" xfId="1" applyFont="1" applyFill="1" applyBorder="1" applyAlignment="1" applyProtection="1">
      <alignment horizontal="center" vertical="center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3" borderId="11" xfId="1" applyFont="1" applyFill="1" applyBorder="1" applyAlignment="1" applyProtection="1">
      <alignment horizontal="center"/>
      <protection locked="0"/>
    </xf>
    <xf numFmtId="177" fontId="3" fillId="3" borderId="12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1" xfId="1" applyFont="1" applyFill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1" xfId="1" applyFont="1" applyFill="1" applyBorder="1" applyAlignment="1" applyProtection="1">
      <alignment horizontal="center" vertical="center"/>
      <protection locked="0"/>
    </xf>
    <xf numFmtId="177" fontId="6" fillId="3" borderId="12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2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1" xfId="1" applyNumberFormat="1" applyFont="1" applyFill="1" applyBorder="1" applyAlignment="1" applyProtection="1">
      <alignment horizontal="center" vertical="center"/>
      <protection locked="0"/>
    </xf>
    <xf numFmtId="57" fontId="6" fillId="3" borderId="12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1.1000000000000001</c:v>
                </c:pt>
                <c:pt idx="1">
                  <c:v>1.21</c:v>
                </c:pt>
                <c:pt idx="2">
                  <c:v>1.3</c:v>
                </c:pt>
                <c:pt idx="3">
                  <c:v>1.4</c:v>
                </c:pt>
                <c:pt idx="4">
                  <c:v>1.48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E-487C-A48D-C517867D6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075391"/>
        <c:axId val="1"/>
      </c:scatterChart>
      <c:valAx>
        <c:axId val="1157075391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0964056139"/>
              <c:y val="0.899679307327963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333066151163E-3"/>
              <c:y val="0.2750828129242465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15707539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895" name="Chart 3">
          <a:extLst>
            <a:ext uri="{FF2B5EF4-FFF2-40B4-BE49-F238E27FC236}">
              <a16:creationId xmlns:a16="http://schemas.microsoft.com/office/drawing/2014/main" id="{C2FEDC3F-3148-449E-B86F-A4C3B3CF1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424BAE05-37D0-483B-9889-1F5DE913CE58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897" name="圖片 2">
          <a:extLst>
            <a:ext uri="{FF2B5EF4-FFF2-40B4-BE49-F238E27FC236}">
              <a16:creationId xmlns:a16="http://schemas.microsoft.com/office/drawing/2014/main" id="{494CA1FB-56FF-490C-8D80-16DA6CC6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898" name="圖片 4">
          <a:extLst>
            <a:ext uri="{FF2B5EF4-FFF2-40B4-BE49-F238E27FC236}">
              <a16:creationId xmlns:a16="http://schemas.microsoft.com/office/drawing/2014/main" id="{CB77A152-05BD-425A-992A-F2252DC4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0CE7D87F-885E-4744-BBD3-AB30E8BD75B4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00" name="圖片 2">
          <a:extLst>
            <a:ext uri="{FF2B5EF4-FFF2-40B4-BE49-F238E27FC236}">
              <a16:creationId xmlns:a16="http://schemas.microsoft.com/office/drawing/2014/main" id="{61B86F5E-8F64-4B49-B060-5E8434EEE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01" name="圖片 4">
          <a:extLst>
            <a:ext uri="{FF2B5EF4-FFF2-40B4-BE49-F238E27FC236}">
              <a16:creationId xmlns:a16="http://schemas.microsoft.com/office/drawing/2014/main" id="{7748A9F1-7C8A-4E0F-B2AB-CDD49B8A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70" workbookViewId="0">
      <selection activeCell="B14" sqref="B14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54" t="s">
        <v>0</v>
      </c>
      <c r="B2" s="155"/>
      <c r="C2" s="155"/>
      <c r="D2" s="155"/>
      <c r="E2" s="155"/>
      <c r="F2" s="155"/>
      <c r="G2" s="155"/>
      <c r="H2" s="155"/>
      <c r="I2" s="155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56" t="s">
        <v>70</v>
      </c>
      <c r="C4" s="157"/>
      <c r="D4" s="158"/>
      <c r="E4" s="159" t="s">
        <v>2</v>
      </c>
      <c r="F4" s="160"/>
      <c r="G4" s="161" t="s">
        <v>61</v>
      </c>
      <c r="H4" s="148"/>
      <c r="I4" s="149"/>
    </row>
    <row r="5" spans="1:17" s="2" customFormat="1" ht="25.2" customHeight="1" x14ac:dyDescent="0.3">
      <c r="A5" s="12" t="s">
        <v>3</v>
      </c>
      <c r="B5" s="162" t="s">
        <v>60</v>
      </c>
      <c r="C5" s="163"/>
      <c r="D5" s="164"/>
      <c r="E5" s="145" t="s">
        <v>4</v>
      </c>
      <c r="F5" s="146"/>
      <c r="G5" s="161" t="s">
        <v>62</v>
      </c>
      <c r="H5" s="148"/>
      <c r="I5" s="14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42" t="s">
        <v>63</v>
      </c>
      <c r="C6" s="143"/>
      <c r="D6" s="144"/>
      <c r="E6" s="145" t="s">
        <v>7</v>
      </c>
      <c r="F6" s="146"/>
      <c r="G6" s="147" t="s">
        <v>8</v>
      </c>
      <c r="H6" s="148"/>
      <c r="I6" s="149"/>
      <c r="K6" s="2" t="s">
        <v>9</v>
      </c>
      <c r="M6" s="69"/>
      <c r="N6" s="69"/>
    </row>
    <row r="7" spans="1:17" s="2" customFormat="1" ht="25.2" customHeight="1" x14ac:dyDescent="0.3">
      <c r="A7" s="135" t="s">
        <v>10</v>
      </c>
      <c r="B7" s="137" t="s">
        <v>11</v>
      </c>
      <c r="C7" s="150" t="s">
        <v>12</v>
      </c>
      <c r="D7" s="151"/>
      <c r="E7" s="151"/>
      <c r="F7" s="139" t="s">
        <v>13</v>
      </c>
      <c r="G7" s="139" t="s">
        <v>14</v>
      </c>
      <c r="H7" s="139" t="s">
        <v>15</v>
      </c>
      <c r="I7" s="141" t="s">
        <v>16</v>
      </c>
      <c r="M7" s="69"/>
      <c r="N7" s="70" t="s">
        <v>17</v>
      </c>
    </row>
    <row r="8" spans="1:17" ht="25.2" customHeight="1" x14ac:dyDescent="0.3">
      <c r="A8" s="136"/>
      <c r="B8" s="138"/>
      <c r="C8" s="11" t="s">
        <v>18</v>
      </c>
      <c r="D8" s="96" t="s">
        <v>19</v>
      </c>
      <c r="E8" s="96" t="s">
        <v>20</v>
      </c>
      <c r="F8" s="140"/>
      <c r="G8" s="140"/>
      <c r="H8" s="140"/>
      <c r="I8" s="140"/>
    </row>
    <row r="9" spans="1:17" ht="25.2" customHeight="1" x14ac:dyDescent="0.3">
      <c r="A9" s="97" t="s">
        <v>64</v>
      </c>
      <c r="B9" s="13">
        <v>5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1.1000000000000001</v>
      </c>
      <c r="H9" s="16">
        <f>IF(E9="","",($E$20*G9+$G$20))</f>
        <v>1.0900000000000001</v>
      </c>
      <c r="I9" s="71">
        <f>IF(E9="","",(F9-H9)/H9*100)</f>
        <v>0.9</v>
      </c>
      <c r="J9" s="72"/>
      <c r="K9" s="127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65</v>
      </c>
      <c r="B10" s="13">
        <v>6.1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1.21</v>
      </c>
      <c r="H10" s="16">
        <f>IF(E10="","",($E$20*G10+$G$20))</f>
        <v>1.21</v>
      </c>
      <c r="I10" s="71">
        <f>IF(E10="","",(F10-H10)/H10*100)</f>
        <v>-0.8</v>
      </c>
      <c r="J10" s="72"/>
      <c r="K10" s="128"/>
      <c r="L10" s="130" t="s">
        <v>25</v>
      </c>
      <c r="M10" s="75" t="s">
        <v>26</v>
      </c>
      <c r="N10" s="76"/>
      <c r="O10" s="75" t="s">
        <v>27</v>
      </c>
      <c r="P10" s="77"/>
      <c r="Q10" s="125" t="str">
        <f>IF(N10="","",(P10-P11)/(P11)*100)</f>
        <v/>
      </c>
    </row>
    <row r="11" spans="1:17" ht="25.2" customHeight="1" x14ac:dyDescent="0.3">
      <c r="A11" s="97" t="s">
        <v>66</v>
      </c>
      <c r="B11" s="13">
        <v>7.1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</v>
      </c>
      <c r="H11" s="16">
        <f>IF(E11="","",($E$20*G11+$G$20))</f>
        <v>1.3</v>
      </c>
      <c r="I11" s="71">
        <f>IF(E11="","",(F11-H11)/H11*100)</f>
        <v>0</v>
      </c>
      <c r="J11" s="72"/>
      <c r="K11" s="128"/>
      <c r="L11" s="131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26"/>
    </row>
    <row r="12" spans="1:17" ht="25.2" customHeight="1" x14ac:dyDescent="0.3">
      <c r="A12" s="97" t="s">
        <v>67</v>
      </c>
      <c r="B12" s="13">
        <v>8.1999999999999993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</v>
      </c>
      <c r="H12" s="16">
        <f>IF(E12="","",($E$20*G12+$G$20))</f>
        <v>1.41</v>
      </c>
      <c r="I12" s="71">
        <f>IF(E12="","",(F12-H12)/H12*100)</f>
        <v>-0.7</v>
      </c>
      <c r="J12" s="72"/>
      <c r="K12" s="128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68</v>
      </c>
      <c r="B13" s="13">
        <v>9.1999999999999993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1.48</v>
      </c>
      <c r="H13" s="16">
        <f>IF(E13="","",($E$20*G13+$G$20))</f>
        <v>1.49</v>
      </c>
      <c r="I13" s="71">
        <f>IF(E13="","",(F13-H13)/H13*100)</f>
        <v>0.7</v>
      </c>
      <c r="J13" s="72"/>
      <c r="K13" s="128"/>
      <c r="L13" s="132" t="s">
        <v>30</v>
      </c>
      <c r="M13" s="114"/>
      <c r="N13" s="112" t="s">
        <v>31</v>
      </c>
      <c r="O13" s="123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52" t="s">
        <v>33</v>
      </c>
      <c r="E14" s="153"/>
      <c r="F14" s="20"/>
      <c r="G14" s="21" t="s">
        <v>34</v>
      </c>
      <c r="H14" s="22">
        <v>32.4</v>
      </c>
      <c r="I14" s="81" t="s">
        <v>35</v>
      </c>
      <c r="K14" s="129"/>
      <c r="L14" s="131"/>
      <c r="M14" s="115"/>
      <c r="N14" s="113"/>
      <c r="O14" s="124"/>
      <c r="P14" s="5"/>
      <c r="Q14" s="5"/>
    </row>
    <row r="15" spans="1:17" s="3" customFormat="1" ht="22.75" customHeight="1" x14ac:dyDescent="0.3">
      <c r="A15" s="23" t="s">
        <v>36</v>
      </c>
      <c r="B15" s="24"/>
      <c r="C15" s="25"/>
      <c r="D15" s="25"/>
      <c r="E15" s="26"/>
      <c r="F15" s="27"/>
      <c r="G15" s="28" t="s">
        <v>37</v>
      </c>
      <c r="H15" s="29">
        <v>757.1</v>
      </c>
      <c r="I15" s="82" t="s">
        <v>38</v>
      </c>
      <c r="L15" s="5"/>
    </row>
    <row r="16" spans="1:17" s="4" customFormat="1" ht="19" customHeight="1" x14ac:dyDescent="0.3">
      <c r="A16" s="30" t="s">
        <v>39</v>
      </c>
      <c r="B16" s="31"/>
      <c r="C16" s="32">
        <v>2.0185</v>
      </c>
      <c r="D16" s="98" t="s">
        <v>40</v>
      </c>
      <c r="E16" s="33">
        <v>-6.7999999999999996E-3</v>
      </c>
      <c r="F16" s="34"/>
      <c r="G16" s="116"/>
      <c r="H16" s="116"/>
      <c r="I16" s="83"/>
      <c r="K16" s="3"/>
      <c r="L16" s="5"/>
    </row>
    <row r="17" spans="1:17" s="3" customFormat="1" ht="25.2" customHeight="1" x14ac:dyDescent="0.3">
      <c r="A17" s="35" t="s">
        <v>41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42</v>
      </c>
      <c r="I18" s="85"/>
      <c r="K18" s="127" t="s">
        <v>43</v>
      </c>
      <c r="L18" s="132" t="s">
        <v>30</v>
      </c>
      <c r="M18" s="114"/>
      <c r="N18" s="112" t="s">
        <v>31</v>
      </c>
      <c r="O18" s="123" t="str">
        <f>IF(M18="","",ROUND((M18-G20)/E20,2))</f>
        <v/>
      </c>
    </row>
    <row r="19" spans="1:17" s="3" customFormat="1" ht="24.75" customHeight="1" x14ac:dyDescent="0.3">
      <c r="A19" s="117" t="s">
        <v>44</v>
      </c>
      <c r="B19" s="118"/>
      <c r="C19" s="119"/>
      <c r="D19" s="119"/>
      <c r="E19" s="119"/>
      <c r="F19" s="119"/>
      <c r="G19" s="119"/>
      <c r="H19" s="119"/>
      <c r="I19" s="120"/>
      <c r="K19" s="128"/>
      <c r="L19" s="131"/>
      <c r="M19" s="115"/>
      <c r="N19" s="113"/>
      <c r="O19" s="124"/>
    </row>
    <row r="20" spans="1:17" s="3" customFormat="1" ht="25.2" customHeight="1" x14ac:dyDescent="0.3">
      <c r="A20" s="45" t="s">
        <v>45</v>
      </c>
      <c r="B20" s="27"/>
      <c r="C20" s="46"/>
      <c r="D20" s="47" t="s">
        <v>46</v>
      </c>
      <c r="E20" s="48">
        <f>IF(E13="","",SLOPE(F9:F13,G9:G13))</f>
        <v>1.05</v>
      </c>
      <c r="F20" s="49" t="s">
        <v>47</v>
      </c>
      <c r="G20" s="50">
        <f>IF(E13="","",INTERCEPT(F9:F13,G9:G13))</f>
        <v>-6.2799999999999995E-2</v>
      </c>
      <c r="H20" s="51" t="s">
        <v>48</v>
      </c>
      <c r="I20" s="86">
        <f>IF(E13="","",PEARSON(F9:F13,G9:G13))</f>
        <v>0.99870000000000003</v>
      </c>
      <c r="K20" s="128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8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8"/>
      <c r="L22" s="130" t="s">
        <v>25</v>
      </c>
      <c r="M22" s="75" t="s">
        <v>26</v>
      </c>
      <c r="N22" s="76"/>
      <c r="O22" s="75" t="s">
        <v>27</v>
      </c>
      <c r="P22" s="77"/>
      <c r="Q22" s="125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9"/>
      <c r="L23" s="131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26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33" t="s">
        <v>49</v>
      </c>
      <c r="L26" s="134"/>
      <c r="M26" s="88"/>
      <c r="N26" s="89" t="s">
        <v>50</v>
      </c>
      <c r="O26" s="88"/>
      <c r="P26" s="89" t="s">
        <v>51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52</v>
      </c>
      <c r="L27" s="90"/>
      <c r="M27" s="91" t="str">
        <f>IF(M13="","",IF(M26&gt;3,AVERAGE(O13,O18)*(M26*60+O26),"---"))</f>
        <v/>
      </c>
      <c r="N27" s="92" t="s">
        <v>53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54</v>
      </c>
      <c r="L28" s="90"/>
      <c r="M28" s="91" t="str">
        <f>IF(M13="","",IF(M26&lt;3,(AVERAGE(O13,O18)*(M26*60+O26))*((273/(273+(N9*0.5+N21*0.5)))*((P9*0.5+P21*0.5)/760)),"---"))</f>
        <v/>
      </c>
      <c r="N28" s="92" t="s">
        <v>55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00" t="s">
        <v>56</v>
      </c>
      <c r="B32" s="101"/>
      <c r="C32" s="102"/>
      <c r="D32" s="106" t="s">
        <v>57</v>
      </c>
      <c r="E32" s="107"/>
      <c r="F32" s="100" t="s">
        <v>58</v>
      </c>
      <c r="G32" s="102"/>
      <c r="H32" s="110" t="s">
        <v>69</v>
      </c>
      <c r="I32" s="111"/>
    </row>
    <row r="33" spans="1:10" ht="25.2" customHeight="1" x14ac:dyDescent="0.3">
      <c r="A33" s="103"/>
      <c r="B33" s="104"/>
      <c r="C33" s="105"/>
      <c r="D33" s="108"/>
      <c r="E33" s="109"/>
      <c r="F33" s="103"/>
      <c r="G33" s="105"/>
      <c r="H33" s="108"/>
      <c r="I33" s="109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59</v>
      </c>
      <c r="B35" s="9"/>
      <c r="I35" s="65"/>
      <c r="J35" s="65"/>
    </row>
  </sheetData>
  <sheetProtection password="8A83" sheet="1"/>
  <mergeCells count="41">
    <mergeCell ref="A2:I2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C7:E7"/>
    <mergeCell ref="L9:M9"/>
    <mergeCell ref="D14:E14"/>
    <mergeCell ref="K9:K14"/>
    <mergeCell ref="K26:L26"/>
    <mergeCell ref="A7:A8"/>
    <mergeCell ref="B7:B8"/>
    <mergeCell ref="F7:F8"/>
    <mergeCell ref="G7:G8"/>
    <mergeCell ref="H7:H8"/>
    <mergeCell ref="I7:I8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2026-08-11T06:34:40Z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